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metadata.xml" ContentType="application/vnd.openxmlformats-officedocument.spreadsheetml.sheetMetadata+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My Sheet" sheetId="2" r:id="rId4"/>
  </sheets>
  <definedNames>
    <definedName name="Prices">Data!$B$2:$B$6</definedName>
    <definedName name="Pick">'My Sheet'!$A$1</definedName>
    <definedName localSheetId="0" name="Pick">Data!$C$4</definedName>
    <definedName name="Konst">42</definedName>
  </definedNames>
  <calcPr calcId="12221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name val="Calibri"/>
      <family val="2"/>
      <b val="1"/>
      <color rgb="FF000000"/>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tabSelected="true" workbookViewId="0"/>
  </sheetViews>
  <sheetFormatPr defaultRowHeight="15"/>
  <cols>
    <col min="5" max="5" width="30" customWidth="1"/>
    <col min="6" max="6" width="42" customWidth="1"/>
    <col min="7" max="7" width="12" customWidth="1"/>
    <col min="9" max="9" width="30" customWidth="1"/>
  </cols>
  <sheetData>
    <row r="1">
      <c r="A1" s="1" t="inlineStr">
        <is>
          <t>Item</t>
        </is>
      </c>
      <c r="B1" s="1" t="inlineStr">
        <is>
          <t>Price</t>
        </is>
      </c>
      <c r="C1" s="1" t="inlineStr">
        <is>
          <t>Qty</t>
        </is>
      </c>
      <c r="E1" s="1" t="inlineStr">
        <is>
          <t>Description</t>
        </is>
      </c>
      <c r="F1" s="1" t="inlineStr">
        <is>
          <t>Formula</t>
        </is>
      </c>
      <c r="G1" s="1" t="inlineStr">
        <is>
          <t>Result</t>
        </is>
      </c>
      <c r="I1" s="1" t="inlineStr">
        <is>
          <t>Expected</t>
        </is>
      </c>
    </row>
    <row r="2">
      <c r="A2" t="inlineStr">
        <is>
          <t>Apple</t>
        </is>
      </c>
      <c r="B2">
        <v>1.5</v>
      </c>
      <c r="C2">
        <v>10</v>
      </c>
      <c r="E2" t="inlineStr">
        <is>
          <t>OFFSET one cell down/right</t>
        </is>
      </c>
      <c r="F2" t="inlineStr">
        <is>
          <t>=OFFSET(A1,1,1)</t>
        </is>
      </c>
      <c r="G2" cm="1">
        <f t="array" ref="G2">OFFSET(A1,1,1)</f>
        <v>1.5</v>
      </c>
      <c r="I2" t="inlineStr">
        <is>
          <t>1.5</t>
        </is>
      </c>
    </row>
    <row r="3">
      <c r="A3" t="inlineStr">
        <is>
          <t>Banana</t>
        </is>
      </c>
      <c r="B3">
        <v>0.25</v>
      </c>
      <c r="C3">
        <v>40</v>
      </c>
      <c r="E3" t="inlineStr">
        <is>
          <t>OFFSET omitted rows/cols</t>
        </is>
      </c>
      <c r="F3" t="inlineStr">
        <is>
          <t>=OFFSET(B2,,)</t>
        </is>
      </c>
      <c r="G3" cm="1">
        <f t="array" ref="G3">OFFSET(B2,,)</f>
        <v>1.5</v>
      </c>
      <c r="I3" t="inlineStr">
        <is>
          <t>1.5</t>
        </is>
      </c>
    </row>
    <row r="4">
      <c r="A4" t="inlineStr">
        <is>
          <t>Cherry</t>
        </is>
      </c>
      <c r="B4">
        <v>4</v>
      </c>
      <c r="C4">
        <v>3</v>
      </c>
      <c r="E4" t="inlineStr">
        <is>
          <t>OFFSET negative offsets</t>
        </is>
      </c>
      <c r="F4" t="inlineStr">
        <is>
          <t>=OFFSET(C4,-1,-1)</t>
        </is>
      </c>
      <c r="G4" cm="1">
        <f t="array" ref="G4">OFFSET(C4,-1,-1)</f>
        <v>0.25</v>
      </c>
      <c r="I4" t="inlineStr">
        <is>
          <t>0.25</t>
        </is>
      </c>
    </row>
    <row r="5">
      <c r="A5" t="inlineStr">
        <is>
          <t>Date</t>
        </is>
      </c>
      <c r="B5">
        <v>6.5</v>
      </c>
      <c r="C5">
        <v>2</v>
      </c>
      <c r="E5" t="inlineStr">
        <is>
          <t>SUM of OFFSET 3x1</t>
        </is>
      </c>
      <c r="F5" t="inlineStr">
        <is>
          <t>=SUM(OFFSET(B1,1,0,3,1))</t>
        </is>
      </c>
      <c r="G5" cm="1">
        <f t="array" ref="G5">SUM(OFFSET(B1,1,0,3,1))</f>
        <v>5.75</v>
      </c>
      <c r="I5" t="inlineStr">
        <is>
          <t>5.75</t>
        </is>
      </c>
    </row>
    <row r="6">
      <c r="A6" t="inlineStr">
        <is>
          <t>Elder</t>
        </is>
      </c>
      <c r="B6">
        <v>2</v>
      </c>
      <c r="C6">
        <v>7</v>
      </c>
      <c r="E6" t="inlineStr">
        <is>
          <t>SUM, height only</t>
        </is>
      </c>
      <c r="F6" t="inlineStr">
        <is>
          <t>=SUM(OFFSET(C1,1,0,5))</t>
        </is>
      </c>
      <c r="G6" cm="1">
        <f t="array" ref="G6">SUM(OFFSET(C1,1,0,5))</f>
        <v>62</v>
      </c>
      <c r="I6" t="inlineStr">
        <is>
          <t>62</t>
        </is>
      </c>
    </row>
    <row r="7">
      <c r="E7" t="inlineStr">
        <is>
          <t>Negative height (extends up)</t>
        </is>
      </c>
      <c r="F7" t="inlineStr">
        <is>
          <t>=SUM(OFFSET(B6,0,0,-3,1))</t>
        </is>
      </c>
      <c r="G7" cm="1">
        <f t="array" ref="G7">SUM(OFFSET(B6,0,0,-3,1))</f>
        <v>12.5</v>
      </c>
      <c r="I7" t="inlineStr">
        <is>
          <t>12.5</t>
        </is>
      </c>
    </row>
    <row r="8">
      <c r="A8" s="1" t="inlineStr">
        <is>
          <t>Ref text:</t>
        </is>
      </c>
      <c r="B8" t="inlineStr">
        <is>
          <t>B3</t>
        </is>
      </c>
      <c r="E8" t="inlineStr">
        <is>
          <t>Negative width (extends left)</t>
        </is>
      </c>
      <c r="F8" t="inlineStr">
        <is>
          <t>=SUM(OFFSET(C2,0,0,1,-2))</t>
        </is>
      </c>
      <c r="G8" cm="1">
        <f t="array" ref="G8">SUM(OFFSET(C2,0,0,1,-2))</f>
        <v>11.5</v>
      </c>
      <c r="I8" t="inlineStr">
        <is>
          <t>11.5</t>
        </is>
      </c>
    </row>
    <row r="9">
      <c r="A9" s="1" t="inlineStr">
        <is>
          <t>Row no.:</t>
        </is>
      </c>
      <c r="B9">
        <v>4</v>
      </c>
      <c r="E9" t="inlineStr">
        <is>
          <t>Range A2:OFFSET(...)</t>
        </is>
      </c>
      <c r="F9" t="inlineStr">
        <is>
          <t>=SUM(B2:OFFSET(B2,2,0))</t>
        </is>
      </c>
      <c r="G9" cm="1">
        <f t="array" ref="G9">SUM(B2:OFFSET(B2,2,0))</f>
        <v>5.75</v>
      </c>
      <c r="I9" t="inlineStr">
        <is>
          <t>5.75</t>
        </is>
      </c>
    </row>
    <row r="10">
      <c r="E10" t="inlineStr">
        <is>
          <t>ROWS of OFFSET</t>
        </is>
      </c>
      <c r="F10" t="inlineStr">
        <is>
          <t>=ROWS(OFFSET(A1,0,0,4,3))</t>
        </is>
      </c>
      <c r="G10" cm="1">
        <f t="array" ref="G10">ROWS(OFFSET(A1,0,0,4,3))</f>
        <v>4</v>
      </c>
      <c r="I10" t="inlineStr">
        <is>
          <t>4</t>
        </is>
      </c>
    </row>
    <row r="11">
      <c r="E11" t="inlineStr">
        <is>
          <t>COLUMNS, width default</t>
        </is>
      </c>
      <c r="F11" t="inlineStr">
        <is>
          <t>=COLUMNS(OFFSET(A1:C1,1,0))</t>
        </is>
      </c>
      <c r="G11" cm="1">
        <f t="array" ref="G11">COLUMNS(OFFSET(A1:C1,1,0))</f>
        <v>3</v>
      </c>
      <c r="I11" t="inlineStr">
        <is>
          <t>3</t>
        </is>
      </c>
    </row>
    <row r="12">
      <c r="E12" t="inlineStr">
        <is>
          <t>Height 0</t>
        </is>
      </c>
      <c r="F12" t="inlineStr">
        <is>
          <t>=OFFSET(A1,0,0,0,1)</t>
        </is>
      </c>
      <c r="G12" t="e" cm="1">
        <f t="array" ref="G12">OFFSET(A1,0,0,0,1)</f>
        <v>#REF!</v>
      </c>
      <c r="I12" t="inlineStr">
        <is>
          <t>#REF!</t>
        </is>
      </c>
    </row>
    <row r="13">
      <c r="E13" t="inlineStr">
        <is>
          <t>Off the sheet</t>
        </is>
      </c>
      <c r="F13" t="inlineStr">
        <is>
          <t>=OFFSET(A1,-1,0)</t>
        </is>
      </c>
      <c r="G13" t="e" cm="1">
        <f t="array" ref="G13">OFFSET(A1,-1,0)</f>
        <v>#REF!</v>
      </c>
      <c r="I13" t="inlineStr">
        <is>
          <t>#REF!</t>
        </is>
      </c>
    </row>
    <row r="14">
      <c r="E14" t="inlineStr">
        <is>
          <t>Not a reference</t>
        </is>
      </c>
      <c r="F14" t="inlineStr">
        <is>
          <t>=OFFSET(5,0,0)</t>
        </is>
      </c>
      <c r="G14" t="e" cm="1">
        <f t="array" ref="G14">OFFSET(5,0,0)</f>
        <v>#VALUE!</v>
      </c>
      <c r="I14" t="inlineStr">
        <is>
          <t>#VALUE!</t>
        </is>
      </c>
    </row>
    <row r="15">
      <c r="E15" t="inlineStr">
        <is>
          <t>Fractions truncate</t>
        </is>
      </c>
      <c r="F15" t="inlineStr">
        <is>
          <t>=OFFSET(A1,1.9,1.9)</t>
        </is>
      </c>
      <c r="G15" cm="1">
        <f t="array" ref="G15">OFFSET(A1,1.9,1.9)</f>
        <v>1.5</v>
      </c>
      <c r="I15" t="inlineStr">
        <is>
          <t>1.5</t>
        </is>
      </c>
    </row>
    <row r="16">
      <c r="E16" t="inlineStr">
        <is>
          <t>Height from MATCH</t>
        </is>
      </c>
      <c r="F16" t="inlineStr">
        <is>
          <t>=SUM(OFFSET(C2,0,0,MATCH("Cherry",A2:A6,0)))</t>
        </is>
      </c>
      <c r="G16" cm="1">
        <f t="array" ref="G16">SUM(OFFSET(C2,0,0,MATCH("Cherry",A2:A6,0)))</f>
        <v>53</v>
      </c>
      <c r="I16" t="inlineStr">
        <is>
          <t>53</t>
        </is>
      </c>
    </row>
    <row r="17">
      <c r="E17" t="inlineStr">
        <is>
          <t>OFFSET of INDEX</t>
        </is>
      </c>
      <c r="F17" t="inlineStr">
        <is>
          <t>=OFFSET(INDEX(A1:C6,3,1),0,2)</t>
        </is>
      </c>
      <c r="G17" cm="1">
        <f t="array" ref="G17">OFFSET(INDEX(A1:C6,3,1),0,2)</f>
        <v>40</v>
      </c>
      <c r="I17" t="inlineStr">
        <is>
          <t>40</t>
        </is>
      </c>
    </row>
    <row r="18">
      <c r="E18" t="inlineStr">
        <is>
          <t>Array of offsets (lifted)</t>
        </is>
      </c>
      <c r="F18" t="inlineStr">
        <is>
          <t>=SUM(N(OFFSET(B1,{1,3},0)))</t>
        </is>
      </c>
      <c r="G18" cm="1">
        <f t="array" ref="G18">SUM(N(OFFSET(B1,{1,3},0)))</f>
        <v>5.5</v>
      </c>
      <c r="I18" t="inlineStr">
        <is>
          <t>5.5</t>
        </is>
      </c>
    </row>
    <row r="19">
      <c r="E19" t="inlineStr">
        <is>
          <t>INDIRECT A1 text</t>
        </is>
      </c>
      <c r="F19" t="inlineStr">
        <is>
          <t>=INDIRECT("B3")</t>
        </is>
      </c>
      <c r="G19" cm="1">
        <f t="array" ref="G19">INDIRECT("B3")</f>
        <v>0.25</v>
      </c>
      <c r="I19" t="inlineStr">
        <is>
          <t>0.25</t>
        </is>
      </c>
    </row>
    <row r="20">
      <c r="E20" t="inlineStr">
        <is>
          <t>INDIRECT from a cell</t>
        </is>
      </c>
      <c r="F20" t="inlineStr">
        <is>
          <t>=INDIRECT(B8)</t>
        </is>
      </c>
      <c r="G20" cm="1">
        <f t="array" ref="G20">INDIRECT(B8)</f>
        <v>0.25</v>
      </c>
      <c r="I20" t="inlineStr">
        <is>
          <t>0.25</t>
        </is>
      </c>
    </row>
    <row r="21">
      <c r="E21" t="inlineStr">
        <is>
          <t>INDIRECT built text</t>
        </is>
      </c>
      <c r="F21" t="inlineStr">
        <is>
          <t>=INDIRECT("C"&amp;B9)</t>
        </is>
      </c>
      <c r="G21" cm="1">
        <f t="array" ref="G21">INDIRECT("C"&amp;B9)</f>
        <v>3</v>
      </c>
      <c r="I21" t="inlineStr">
        <is>
          <t>3</t>
        </is>
      </c>
    </row>
    <row r="22">
      <c r="E22" t="inlineStr">
        <is>
          <t>SUM of INDIRECT range</t>
        </is>
      </c>
      <c r="F22" t="inlineStr">
        <is>
          <t>=SUM(INDIRECT("C2:C6"))</t>
        </is>
      </c>
      <c r="G22" cm="1">
        <f t="array" ref="G22">SUM(INDIRECT("C2:C6"))</f>
        <v>62</v>
      </c>
      <c r="I22" t="inlineStr">
        <is>
          <t>62</t>
        </is>
      </c>
    </row>
    <row r="23">
      <c r="E23" t="inlineStr">
        <is>
          <t>Other sheet, quoted</t>
        </is>
      </c>
      <c r="F23" t="inlineStr">
        <is>
          <t>=INDIRECT("'My Sheet'!B2")</t>
        </is>
      </c>
      <c r="G23" cm="1">
        <f t="array" ref="G23">INDIRECT("'My Sheet'!B2")</f>
        <v>400</v>
      </c>
      <c r="I23" t="inlineStr">
        <is>
          <t>400</t>
        </is>
      </c>
    </row>
    <row r="24">
      <c r="E24" t="inlineStr">
        <is>
          <t>Whole column</t>
        </is>
      </c>
      <c r="F24" t="inlineStr">
        <is>
          <t>=SUM(INDIRECT("C:C"))</t>
        </is>
      </c>
      <c r="G24" cm="1">
        <f t="array" ref="G24">SUM(INDIRECT("C:C"))</f>
        <v>62</v>
      </c>
      <c r="I24" t="inlineStr">
        <is>
          <t>62</t>
        </is>
      </c>
    </row>
    <row r="25">
      <c r="E25" t="inlineStr">
        <is>
          <t>Whole row</t>
        </is>
      </c>
      <c r="F25" t="inlineStr">
        <is>
          <t>=SUM(INDIRECT("2:2"))</t>
        </is>
      </c>
      <c r="G25" cm="1">
        <f t="array" ref="G25">SUM(INDIRECT("2:2"))</f>
        <v>13</v>
      </c>
      <c r="I25" t="inlineStr">
        <is>
          <t>13 (B2+C2+G2)</t>
        </is>
      </c>
    </row>
    <row r="26">
      <c r="E26" t="inlineStr">
        <is>
          <t>Defined name</t>
        </is>
      </c>
      <c r="F26" t="inlineStr">
        <is>
          <t>=SUM(INDIRECT("Prices"))</t>
        </is>
      </c>
      <c r="G26" cm="1">
        <f t="array" ref="G26">SUM(INDIRECT("Prices"))</f>
        <v>14.25</v>
      </c>
      <c r="I26" t="inlineStr">
        <is>
          <t>14.25</t>
        </is>
      </c>
    </row>
    <row r="27">
      <c r="E27" t="inlineStr">
        <is>
          <t>Sheet-level name wins</t>
        </is>
      </c>
      <c r="F27" t="inlineStr">
        <is>
          <t>=INDIRECT("Pick")</t>
        </is>
      </c>
      <c r="G27" cm="1">
        <f t="array" ref="G27">INDIRECT("Pick")</f>
        <v>3</v>
      </c>
      <c r="I27" t="inlineStr">
        <is>
          <t>3</t>
        </is>
      </c>
    </row>
    <row r="28">
      <c r="E28" t="inlineStr">
        <is>
          <t>Global name, qualified</t>
        </is>
      </c>
      <c r="F28" t="inlineStr">
        <is>
          <t>=INDIRECT("'My Sheet'!Pick")</t>
        </is>
      </c>
      <c r="G28" cm="1">
        <f t="array" ref="G28">INDIRECT("'My Sheet'!Pick")</f>
        <v>100</v>
      </c>
      <c r="I28" t="inlineStr">
        <is>
          <t>100 (no sheet-level Pick there)</t>
        </is>
      </c>
    </row>
    <row r="29">
      <c r="E29" t="inlineStr">
        <is>
          <t>Name of a constant</t>
        </is>
      </c>
      <c r="F29" t="inlineStr">
        <is>
          <t>=INDIRECT("Konst")</t>
        </is>
      </c>
      <c r="G29" t="e" cm="1">
        <f t="array" ref="G29">INDIRECT("Konst")</f>
        <v>#REF!</v>
      </c>
      <c r="I29" t="inlineStr">
        <is>
          <t>#REF!</t>
        </is>
      </c>
    </row>
    <row r="30">
      <c r="E30" t="inlineStr">
        <is>
          <t>Not a reference</t>
        </is>
      </c>
      <c r="F30" t="inlineStr">
        <is>
          <t>=INDIRECT("A1+1")</t>
        </is>
      </c>
      <c r="G30" t="e" cm="1">
        <f t="array" ref="G30">INDIRECT("A1+1")</f>
        <v>#REF!</v>
      </c>
      <c r="I30" t="inlineStr">
        <is>
          <t>#REF!</t>
        </is>
      </c>
    </row>
    <row r="31">
      <c r="E31" t="inlineStr">
        <is>
          <t>Missing sheet</t>
        </is>
      </c>
      <c r="F31" t="inlineStr">
        <is>
          <t>=INDIRECT("Nope!A1")</t>
        </is>
      </c>
      <c r="G31" t="e" cm="1">
        <f t="array" ref="G31">INDIRECT("Nope!A1")</f>
        <v>#REF!</v>
      </c>
      <c r="I31" t="inlineStr">
        <is>
          <t>#REF!</t>
        </is>
      </c>
    </row>
    <row r="32">
      <c r="E32" t="inlineStr">
        <is>
          <t>Other workbook</t>
        </is>
      </c>
      <c r="F32" t="inlineStr">
        <is>
          <t>=INDIRECT("[Other.xlsx]Sheet1!A1")</t>
        </is>
      </c>
      <c r="G32" t="e" cm="1">
        <f t="array" ref="G32">INDIRECT("[Other.xlsx]Sheet1!A1")</f>
        <v>#REF!</v>
      </c>
      <c r="I32" t="inlineStr">
        <is>
          <t>#REF!</t>
        </is>
      </c>
    </row>
    <row r="33">
      <c r="E33" t="inlineStr">
        <is>
          <t>Empty text</t>
        </is>
      </c>
      <c r="F33" t="inlineStr">
        <is>
          <t>=INDIRECT("")</t>
        </is>
      </c>
      <c r="G33" t="e" cm="1">
        <f t="array" ref="G33">INDIRECT("")</f>
        <v>#REF!</v>
      </c>
      <c r="I33" t="inlineStr">
        <is>
          <t>#REF!</t>
        </is>
      </c>
    </row>
    <row r="34">
      <c r="E34" t="inlineStr">
        <is>
          <t>R1C1 absolute</t>
        </is>
      </c>
      <c r="F34" t="inlineStr">
        <is>
          <t>=INDIRECT("R3C2",FALSE)</t>
        </is>
      </c>
      <c r="G34" cm="1">
        <f t="array" ref="G34">INDIRECT("R3C2",FALSE)</f>
        <v>0.25</v>
      </c>
      <c r="I34" t="inlineStr">
        <is>
          <t>0.25</t>
        </is>
      </c>
    </row>
    <row r="35">
      <c r="E35" t="inlineStr">
        <is>
          <t>R1C1 relative (row above)</t>
        </is>
      </c>
      <c r="F35" t="inlineStr">
        <is>
          <t>=INDIRECT("R[-1]C[-1]",FALSE)</t>
        </is>
      </c>
      <c r="G35" t="str" cm="1">
        <f t="array" ref="G35">INDIRECT("R[-1]C[-1]",FALSE)</f>
        <v>=INDIRECT("R3C2",FALSE)</v>
      </c>
      <c r="I35" t="inlineStr">
        <is>
          <t>text in column F one row up</t>
        </is>
      </c>
    </row>
    <row r="36">
      <c r="E36" t="inlineStr">
        <is>
          <t>R1C1 range</t>
        </is>
      </c>
      <c r="F36" t="inlineStr">
        <is>
          <t>=SUM(INDIRECT("R2C3:R6C3",FALSE))</t>
        </is>
      </c>
      <c r="G36" cm="1">
        <f t="array" ref="G36">SUM(INDIRECT("R2C3:R6C3",FALSE))</f>
        <v>62</v>
      </c>
      <c r="I36" t="inlineStr">
        <is>
          <t>62</t>
        </is>
      </c>
    </row>
    <row r="37">
      <c r="E37" t="inlineStr">
        <is>
          <t>R1C1 whole column</t>
        </is>
      </c>
      <c r="F37" t="inlineStr">
        <is>
          <t>=SUM(INDIRECT("C3",FALSE))</t>
        </is>
      </c>
      <c r="G37" cm="1">
        <f t="array" ref="G37">SUM(INDIRECT("C3",FALSE))</f>
        <v>62</v>
      </c>
      <c r="I37" t="inlineStr">
        <is>
          <t>62</t>
        </is>
      </c>
    </row>
    <row r="38">
      <c r="E38" t="inlineStr">
        <is>
          <t>R1C1 other sheet</t>
        </is>
      </c>
      <c r="F38" t="inlineStr">
        <is>
          <t>=INDIRECT("'My Sheet'!R2C1",FALSE)</t>
        </is>
      </c>
      <c r="G38" cm="1">
        <f t="array" ref="G38">INDIRECT("'My Sheet'!R2C1",FALSE)</f>
        <v>300</v>
      </c>
      <c r="I38" t="inlineStr">
        <is>
          <t>300</t>
        </is>
      </c>
    </row>
    <row r="39">
      <c r="E39" t="inlineStr">
        <is>
          <t>A1 text with a1=FALSE</t>
        </is>
      </c>
      <c r="F39" t="inlineStr">
        <is>
          <t>=INDIRECT("B3",FALSE)</t>
        </is>
      </c>
      <c r="G39" t="e" cm="1">
        <f t="array" ref="G39">INDIRECT("B3",FALSE)</f>
        <v>#REF!</v>
      </c>
      <c r="I39" t="inlineStr">
        <is>
          <t>#REF!</t>
        </is>
      </c>
    </row>
    <row r="40">
      <c r="E40" t="inlineStr">
        <is>
          <t>CELL address via INDIRECT</t>
        </is>
      </c>
      <c r="F40" t="inlineStr">
        <is>
          <t>=CELL("address",INDIRECT("'My Sheet'!B2"))</t>
        </is>
      </c>
      <c r="G40" t="str" cm="1">
        <f t="array" ref="G40">CELL("address",INDIRECT("'My Sheet'!B2"))</f>
        <v>'My Sheet'!$B$2</v>
      </c>
      <c r="I40" t="inlineStr">
        <is>
          <t>'My Sheet'!$B$2</t>
        </is>
      </c>
    </row>
    <row r="41">
      <c r="E41" t="inlineStr">
        <is>
          <t>ROW of INDIRECT</t>
        </is>
      </c>
      <c r="F41" t="inlineStr">
        <is>
          <t>=ROW(INDIRECT("A7"))</t>
        </is>
      </c>
      <c r="G41" cm="1">
        <f t="array" ref="G41">ROW(INDIRECT("A7"))</f>
        <v>7</v>
      </c>
      <c r="I41" t="inlineStr">
        <is>
          <t>7</t>
        </is>
      </c>
    </row>
    <row r="42">
      <c r="E42" t="inlineStr">
        <is>
          <t>Depends on OFFSET result</t>
        </is>
      </c>
      <c r="F42" t="inlineStr">
        <is>
          <t>=G2*2</t>
        </is>
      </c>
      <c r="G42" cm="1">
        <f t="array" ref="G42">G2*2</f>
        <v>3</v>
      </c>
      <c r="I42" t="inlineStr">
        <is>
          <t>3</t>
        </is>
      </c>
    </row>
    <row r="43">
      <c r="E43" t="inlineStr">
        <is>
          <t>Spill: OFFSET 2x2</t>
        </is>
      </c>
      <c r="F43" t="inlineStr">
        <is>
          <t>=OFFSET(A2,0,1,2,2)</t>
        </is>
      </c>
      <c r="G43" cm="1">
        <f t="array" ref="G43:H44">OFFSET(A2,0,1,2,2)</f>
        <v>1.5</v>
      </c>
      <c r="H43">
        <v>10</v>
      </c>
      <c r="I43" t="inlineStr">
        <is>
          <t>spills 1.5 10 / 0.25 40</t>
        </is>
      </c>
    </row>
    <row r="44">
      <c r="G44">
        <v>0.25</v>
      </c>
      <c r="H44">
        <v>40</v>
      </c>
    </row>
    <row r="45">
      <c r="E45" t="inlineStr">
        <is>
          <t>Spill: INDIRECT range</t>
        </is>
      </c>
      <c r="F45" t="inlineStr">
        <is>
          <t>=INDIRECT("A2:A4")</t>
        </is>
      </c>
      <c r="G45" t="str" cm="1">
        <f t="array" ref="G45:G47">INDIRECT("A2:A4")</f>
        <v>Apple</v>
      </c>
      <c r="I45" t="inlineStr">
        <is>
          <t>spills Apple / Banana / Cherry</t>
        </is>
      </c>
    </row>
    <row r="46">
      <c r="G46" t="inlineStr">
        <is>
          <t>Banana</t>
        </is>
      </c>
    </row>
    <row r="47">
      <c r="G47" t="inlineStr">
        <is>
          <t>Cherry</t>
        </is>
      </c>
    </row>
    <row r="49">
      <c r="E49" t="inlineStr">
        <is>
          <t>Edit B2:C6, B8 or B9: every result above should update (OFFSET/INDIRECT are volatile).</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workbookViewId="0"/>
  </sheetViews>
  <sheetFormatPr defaultRowHeight="15"/>
  <sheetData>
    <row r="1">
      <c r="A1">
        <v>100</v>
      </c>
      <c r="B1">
        <v>200</v>
      </c>
    </row>
    <row r="2">
      <c r="A2">
        <v>300</v>
      </c>
      <c r="B2">
        <v>400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