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nance" sheetId="1" r:id="rId1"/>
  </sheets>
  <calcPr calcId="12221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m/d/yyyy"/>
  </numFmts>
  <fonts count="3">
    <font>
      <name val="Calibri"/>
      <family val="2"/>
      <color theme="1"/>
      <sz val="11"/>
    </font>
    <font>
      <name val="Calibri"/>
      <family val="2"/>
      <b val="1"/>
      <color rgb="FF000000"/>
      <sz val="11"/>
    </font>
    <font>
      <name val="Calibri"/>
      <family val="2"/>
      <color rgb="FF000000"/>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pane activePane="bottomLeft" state="frozen" topLeftCell="A2" ySplit="1"/>
      <selection activeCell="A1" pane="bottomLeft" sqref="A1"/>
    </sheetView>
  </sheetViews>
  <sheetFormatPr defaultRowHeight="15"/>
  <cols>
    <col min="4" max="4" width="11" customWidth="1"/>
    <col min="5" max="5" width="32" customWidth="1"/>
    <col min="6" max="6" width="60" customWidth="1"/>
    <col min="7" max="7" width="16" customWidth="1"/>
    <col min="9" max="9" width="20" customWidth="1"/>
  </cols>
  <sheetData>
    <row r="1">
      <c r="A1" s="1" t="inlineStr">
        <is>
          <t>Cash flow</t>
        </is>
      </c>
      <c r="B1" s="1" t="inlineStr">
        <is>
          <t>Cash flow</t>
        </is>
      </c>
      <c r="C1" s="1" t="inlineStr">
        <is>
          <t>Value</t>
        </is>
      </c>
      <c r="D1" s="1" t="inlineStr">
        <is>
          <t>Date</t>
        </is>
      </c>
      <c r="E1" s="1" t="inlineStr">
        <is>
          <t>Description</t>
        </is>
      </c>
      <c r="F1" s="1" t="inlineStr">
        <is>
          <t>Formula</t>
        </is>
      </c>
      <c r="G1" s="1" t="inlineStr">
        <is>
          <t>Result</t>
        </is>
      </c>
      <c r="I1" s="1" t="inlineStr">
        <is>
          <t>Expected</t>
        </is>
      </c>
    </row>
    <row r="2">
      <c r="A2">
        <v>-70000</v>
      </c>
      <c r="B2">
        <v>-120000</v>
      </c>
      <c r="C2">
        <v>-10000</v>
      </c>
      <c r="D2" s="2">
        <v>39448</v>
      </c>
      <c r="E2" t="inlineStr">
        <is>
          <t>PV of an annuity</t>
        </is>
      </c>
      <c r="F2" t="inlineStr">
        <is>
          <t>=PV(0.08/12,12*20,500,,0)</t>
        </is>
      </c>
      <c r="G2" cm="1">
        <f t="array" ref="G2">PV(0.08/12,12*20,500,,0)</f>
        <v>-59777.14585118802</v>
      </c>
      <c r="I2" t="inlineStr">
        <is>
          <t>-59777.15</t>
        </is>
      </c>
    </row>
    <row r="3">
      <c r="A3">
        <v>12000</v>
      </c>
      <c r="B3">
        <v>39000</v>
      </c>
      <c r="C3">
        <v>2750</v>
      </c>
      <c r="D3" s="2">
        <v>39508</v>
      </c>
      <c r="E3" t="inlineStr">
        <is>
          <t>PV, payments at start</t>
        </is>
      </c>
      <c r="F3" t="inlineStr">
        <is>
          <t>=PV(0.1,5,-100,0,1)</t>
        </is>
      </c>
      <c r="G3" cm="1">
        <f t="array" ref="G3">PV(0.1,5,-100,0,1)</f>
        <v>416.9865446349294</v>
      </c>
      <c r="I3" t="inlineStr">
        <is>
          <t>416.986544634929</t>
        </is>
      </c>
    </row>
    <row r="4">
      <c r="A4">
        <v>15000</v>
      </c>
      <c r="B4">
        <v>30000</v>
      </c>
      <c r="C4">
        <v>4250</v>
      </c>
      <c r="D4" s="2">
        <v>39751</v>
      </c>
      <c r="E4" t="inlineStr">
        <is>
          <t>PV at 0%</t>
        </is>
      </c>
      <c r="F4" t="inlineStr">
        <is>
          <t>=PV(0,10,-100,-50)</t>
        </is>
      </c>
      <c r="G4" cm="1">
        <f t="array" ref="G4">PV(0,10,-100,-50)</f>
        <v>1050</v>
      </c>
      <c r="I4" t="inlineStr">
        <is>
          <t>1050</t>
        </is>
      </c>
    </row>
    <row r="5">
      <c r="A5">
        <v>18000</v>
      </c>
      <c r="B5">
        <v>21000</v>
      </c>
      <c r="C5">
        <v>3250</v>
      </c>
      <c r="D5" s="2">
        <v>39859</v>
      </c>
      <c r="E5" t="inlineStr">
        <is>
          <t>FV</t>
        </is>
      </c>
      <c r="F5" t="inlineStr">
        <is>
          <t>=FV(0.06/12,10,-200,-500,1)</t>
        </is>
      </c>
      <c r="G5" cm="1">
        <f t="array" ref="G5">FV(0.06/12,10,-200,-500,1)</f>
        <v>2581.403374060179</v>
      </c>
      <c r="I5" t="inlineStr">
        <is>
          <t>2581.403374</t>
        </is>
      </c>
    </row>
    <row r="6">
      <c r="A6">
        <v>21000</v>
      </c>
      <c r="B6">
        <v>37000</v>
      </c>
      <c r="C6">
        <v>2750</v>
      </c>
      <c r="D6" s="2">
        <v>39904</v>
      </c>
      <c r="E6" t="inlineStr">
        <is>
          <t>PMT</t>
        </is>
      </c>
      <c r="F6" t="inlineStr">
        <is>
          <t>=PMT(0.08/12,10,10000)</t>
        </is>
      </c>
      <c r="G6" cm="1">
        <f t="array" ref="G6">PMT(0.08/12,10,10000)</f>
        <v>-1037.0320893591525</v>
      </c>
      <c r="I6" t="inlineStr">
        <is>
          <t>-1037.032089</t>
        </is>
      </c>
    </row>
    <row r="7">
      <c r="A7">
        <v>26000</v>
      </c>
      <c r="B7">
        <v>46000</v>
      </c>
      <c r="E7" t="inlineStr">
        <is>
          <t>NPV</t>
        </is>
      </c>
      <c r="F7" t="inlineStr">
        <is>
          <t>=NPV(0.1,-10000,3000,4200,6800)</t>
        </is>
      </c>
      <c r="G7" cm="1">
        <f t="array" ref="G7">NPV(0.1,-10000,3000,4200,6800)</f>
        <v>1188.4434123352207</v>
      </c>
      <c r="I7" t="inlineStr">
        <is>
          <t>1188.443412</t>
        </is>
      </c>
    </row>
    <row r="8">
      <c r="E8" t="inlineStr">
        <is>
          <t>NPER, payments at start</t>
        </is>
      </c>
      <c r="F8" t="inlineStr">
        <is>
          <t>=NPER(0.12/12,-100,-1000,10000,1)</t>
        </is>
      </c>
      <c r="G8" cm="1">
        <f t="array" ref="G8">NPER(0.12/12,-100,-1000,10000,1)</f>
        <v>59.67386567429462</v>
      </c>
      <c r="I8" t="inlineStr">
        <is>
          <t>59.6738657</t>
        </is>
      </c>
    </row>
    <row r="9">
      <c r="E9" t="inlineStr">
        <is>
          <t>NPER</t>
        </is>
      </c>
      <c r="F9" t="inlineStr">
        <is>
          <t>=NPER(0.12/12,-100,-1000,10000)</t>
        </is>
      </c>
      <c r="G9" cm="1">
        <f t="array" ref="G9">NPER(0.12/12,-100,-1000,10000)</f>
        <v>60.08212285376172</v>
      </c>
      <c r="I9" t="inlineStr">
        <is>
          <t>60.0821229</t>
        </is>
      </c>
    </row>
    <row r="10">
      <c r="E10" t="inlineStr">
        <is>
          <t>NPER negative</t>
        </is>
      </c>
      <c r="F10" t="inlineStr">
        <is>
          <t>=NPER(0.12/12,-100,-1000)</t>
        </is>
      </c>
      <c r="G10" cm="1">
        <f t="array" ref="G10">NPER(0.12/12,-100,-1000)</f>
        <v>-9.57859403981317</v>
      </c>
      <c r="I10" t="inlineStr">
        <is>
          <t>-9.57859404</t>
        </is>
      </c>
    </row>
    <row r="11">
      <c r="E11" t="inlineStr">
        <is>
          <t>NPER payment never covers interest</t>
        </is>
      </c>
      <c r="F11" t="inlineStr">
        <is>
          <t>=NPER(0.1,-10,1000)</t>
        </is>
      </c>
      <c r="G11" t="e" cm="1">
        <f t="array" ref="G11">NPER(0.1,-10,1000)</f>
        <v>#NUM!</v>
      </c>
      <c r="I11" t="inlineStr">
        <is>
          <t>#NUM!</t>
        </is>
      </c>
    </row>
    <row r="12">
      <c r="E12" t="inlineStr">
        <is>
          <t>RATE monthly</t>
        </is>
      </c>
      <c r="F12" t="inlineStr">
        <is>
          <t>=RATE(4*12,-200,8000)</t>
        </is>
      </c>
      <c r="G12" cm="1">
        <f t="array" ref="G12">RATE(4*12,-200,8000)</f>
        <v>0.007701472488202034</v>
      </c>
      <c r="I12" t="inlineStr">
        <is>
          <t>0.007701472</t>
        </is>
      </c>
    </row>
    <row r="13">
      <c r="E13" t="inlineStr">
        <is>
          <t>RATE annual</t>
        </is>
      </c>
      <c r="F13" t="inlineStr">
        <is>
          <t>=RATE(4*12,-200,8000)*12</t>
        </is>
      </c>
      <c r="G13" cm="1">
        <f t="array" ref="G13">RATE(4*12,-200,8000)*12</f>
        <v>0.09241766985842441</v>
      </c>
      <c r="I13" t="inlineStr">
        <is>
          <t>0.09241767</t>
        </is>
      </c>
    </row>
    <row r="14">
      <c r="E14" t="inlineStr">
        <is>
          <t>RATE with guess</t>
        </is>
      </c>
      <c r="F14" t="inlineStr">
        <is>
          <t>=RATE(10,-120,1000,0,1,0.05)</t>
        </is>
      </c>
      <c r="G14" cm="1">
        <f t="array" ref="G14">RATE(10,-120,1000,0,1,0.05)</f>
        <v>0.043041933234096066</v>
      </c>
      <c r="I14" t="inlineStr">
        <is>
          <t>0.0430419332340961</t>
        </is>
      </c>
    </row>
    <row r="15">
      <c r="E15" t="inlineStr">
        <is>
          <t>RATE no solution</t>
        </is>
      </c>
      <c r="F15" t="inlineStr">
        <is>
          <t>=RATE(10,100,1000)</t>
        </is>
      </c>
      <c r="G15" t="e" cm="1">
        <f t="array" ref="G15">RATE(10,100,1000)</f>
        <v>#NUM!</v>
      </c>
      <c r="I15" t="inlineStr">
        <is>
          <t>#NUM!</t>
        </is>
      </c>
    </row>
    <row r="16">
      <c r="E16" t="inlineStr">
        <is>
          <t>IPMT first month</t>
        </is>
      </c>
      <c r="F16" t="inlineStr">
        <is>
          <t>=IPMT(0.1/12,1,3*12,8000)</t>
        </is>
      </c>
      <c r="G16" cm="1">
        <f t="array" ref="G16">IPMT(0.1/12,1,3*12,8000)</f>
        <v>-66.66666666666667</v>
      </c>
      <c r="I16" t="inlineStr">
        <is>
          <t>-66.66666667</t>
        </is>
      </c>
    </row>
    <row r="17">
      <c r="E17" t="inlineStr">
        <is>
          <t>IPMT last year</t>
        </is>
      </c>
      <c r="F17" t="inlineStr">
        <is>
          <t>=IPMT(0.1,3,3,8000)</t>
        </is>
      </c>
      <c r="G17" cm="1">
        <f t="array" ref="G17">IPMT(0.1,3,3,8000)</f>
        <v>-292.4471299093654</v>
      </c>
      <c r="I17" t="inlineStr">
        <is>
          <t>-292.4471299</t>
        </is>
      </c>
    </row>
    <row r="18">
      <c r="E18" t="inlineStr">
        <is>
          <t>IPMT per out of range</t>
        </is>
      </c>
      <c r="F18" t="inlineStr">
        <is>
          <t>=IPMT(0.1,4,3,8000)</t>
        </is>
      </c>
      <c r="G18" t="e" cm="1">
        <f t="array" ref="G18">IPMT(0.1,4,3,8000)</f>
        <v>#NUM!</v>
      </c>
      <c r="I18" t="inlineStr">
        <is>
          <t>#NUM!</t>
        </is>
      </c>
    </row>
    <row r="19">
      <c r="E19" t="inlineStr">
        <is>
          <t>PPMT first month</t>
        </is>
      </c>
      <c r="F19" t="inlineStr">
        <is>
          <t>=PPMT(0.1/12,1,2*12,2000)</t>
        </is>
      </c>
      <c r="G19" cm="1">
        <f t="array" ref="G19">PPMT(0.1/12,1,2*12,2000)</f>
        <v>-75.62318600836635</v>
      </c>
      <c r="I19" t="inlineStr">
        <is>
          <t>-75.62318601</t>
        </is>
      </c>
    </row>
    <row r="20">
      <c r="E20" t="inlineStr">
        <is>
          <t>PPMT last year</t>
        </is>
      </c>
      <c r="F20" t="inlineStr">
        <is>
          <t>=PPMT(0.08,10,10,200000)</t>
        </is>
      </c>
      <c r="G20" cm="1">
        <f t="array" ref="G20">PPMT(0.08,10,10,200000)</f>
        <v>-27598.05346242138</v>
      </c>
      <c r="I20" t="inlineStr">
        <is>
          <t>-27598.05346</t>
        </is>
      </c>
    </row>
    <row r="21">
      <c r="E21" t="inlineStr">
        <is>
          <t>CUMIPMT second year</t>
        </is>
      </c>
      <c r="F21" t="inlineStr">
        <is>
          <t>=CUMIPMT(0.09/12,30*12,125000,13,24,0)</t>
        </is>
      </c>
      <c r="G21" cm="1">
        <f t="array" ref="G21">CUMIPMT(0.09/12,30*12,125000,13,24,0)</f>
        <v>-11135.232130750841</v>
      </c>
      <c r="I21" t="inlineStr">
        <is>
          <t>-11135.23213</t>
        </is>
      </c>
    </row>
    <row r="22">
      <c r="E22" t="inlineStr">
        <is>
          <t>CUMIPMT first month</t>
        </is>
      </c>
      <c r="F22" t="inlineStr">
        <is>
          <t>=CUMIPMT(0.09/12,30*12,125000,1,1,0)</t>
        </is>
      </c>
      <c r="G22" cm="1">
        <f t="array" ref="G22">CUMIPMT(0.09/12,30*12,125000,1,1,0)</f>
        <v>-937.5</v>
      </c>
      <c r="I22" t="inlineStr">
        <is>
          <t>-937.5</t>
        </is>
      </c>
    </row>
    <row r="23">
      <c r="E23" t="inlineStr">
        <is>
          <t>CUMIPMT type 1</t>
        </is>
      </c>
      <c r="F23" t="inlineStr">
        <is>
          <t>=CUMIPMT(0.09/12,360,125000,1,2,1)</t>
        </is>
      </c>
      <c r="G23" cm="1">
        <f t="array" ref="G23">CUMIPMT(0.09/12,360,125000,1,2,1)</f>
        <v>-930.0128168398437</v>
      </c>
      <c r="I23" t="inlineStr">
        <is>
          <t>-930.012816839844</t>
        </is>
      </c>
    </row>
    <row r="24">
      <c r="E24" t="inlineStr">
        <is>
          <t>CUMIPMT bad type</t>
        </is>
      </c>
      <c r="F24" t="inlineStr">
        <is>
          <t>=CUMIPMT(0.09/12,360,125000,1,2,2)</t>
        </is>
      </c>
      <c r="G24" t="e" cm="1">
        <f t="array" ref="G24">CUMIPMT(0.09/12,360,125000,1,2,2)</f>
        <v>#NUM!</v>
      </c>
      <c r="I24" t="inlineStr">
        <is>
          <t>#NUM!</t>
        </is>
      </c>
    </row>
    <row r="25">
      <c r="E25" t="inlineStr">
        <is>
          <t>CUMPRINC second year</t>
        </is>
      </c>
      <c r="F25" t="inlineStr">
        <is>
          <t>=CUMPRINC(0.09/12,30*12,125000,13,24,0)</t>
        </is>
      </c>
      <c r="G25" cm="1">
        <f t="array" ref="G25">CUMPRINC(0.09/12,30*12,125000,13,24,0)</f>
        <v>-934.107123420897</v>
      </c>
      <c r="I25" t="inlineStr">
        <is>
          <t>-934.1071234</t>
        </is>
      </c>
    </row>
    <row r="26">
      <c r="E26" t="inlineStr">
        <is>
          <t>CUMPRINC first month</t>
        </is>
      </c>
      <c r="F26" t="inlineStr">
        <is>
          <t>=CUMPRINC(0.09/12,30*12,125000,1,1,0)</t>
        </is>
      </c>
      <c r="G26" cm="1">
        <f t="array" ref="G26">CUMPRINC(0.09/12,30*12,125000,1,1,0)</f>
        <v>-68.27827118097832</v>
      </c>
      <c r="I26" t="inlineStr">
        <is>
          <t>-68.27827118</t>
        </is>
      </c>
    </row>
    <row r="27">
      <c r="E27" t="inlineStr">
        <is>
          <t>ISPMT</t>
        </is>
      </c>
      <c r="F27" t="inlineStr">
        <is>
          <t>=ISPMT(0.1/12,1,36,8000)</t>
        </is>
      </c>
      <c r="G27" cm="1">
        <f t="array" ref="G27">ISPMT(0.1/12,1,36,8000)</f>
        <v>-64.81481481481482</v>
      </c>
      <c r="I27" t="inlineStr">
        <is>
          <t>-64.81481481</t>
        </is>
      </c>
    </row>
    <row r="28">
      <c r="E28" t="inlineStr">
        <is>
          <t>ISPMT annual</t>
        </is>
      </c>
      <c r="F28" t="inlineStr">
        <is>
          <t>=ISPMT(0.1,1,3,8000)</t>
        </is>
      </c>
      <c r="G28" cm="1">
        <f t="array" ref="G28">ISPMT(0.1,1,3,8000)</f>
        <v>-533.3333333333334</v>
      </c>
      <c r="I28" t="inlineStr">
        <is>
          <t>-533.3333333</t>
        </is>
      </c>
    </row>
    <row r="29">
      <c r="E29" t="inlineStr">
        <is>
          <t>IRR of A2:A6</t>
        </is>
      </c>
      <c r="F29" t="inlineStr">
        <is>
          <t>=IRR(A2:A6)</t>
        </is>
      </c>
      <c r="G29" cm="1">
        <f t="array" ref="G29">IRR(A2:A6)</f>
        <v>-0.021244848273410978</v>
      </c>
      <c r="I29" t="inlineStr">
        <is>
          <t>-0.021244848</t>
        </is>
      </c>
    </row>
    <row r="30">
      <c r="E30" t="inlineStr">
        <is>
          <t>IRR of A2:A7</t>
        </is>
      </c>
      <c r="F30" t="inlineStr">
        <is>
          <t>=IRR(A2:A7)</t>
        </is>
      </c>
      <c r="G30" cm="1">
        <f t="array" ref="G30">IRR(A2:A7)</f>
        <v>0.08663094803653168</v>
      </c>
      <c r="I30" t="inlineStr">
        <is>
          <t>0.086630948</t>
        </is>
      </c>
    </row>
    <row r="31">
      <c r="E31" t="inlineStr">
        <is>
          <t>IRR with guess</t>
        </is>
      </c>
      <c r="F31" t="inlineStr">
        <is>
          <t>=IRR(A2:A4,-10%)</t>
        </is>
      </c>
      <c r="G31" cm="1">
        <f t="array" ref="G31">IRR(A2:A4,-10%)</f>
        <v>-0.4435069413347405</v>
      </c>
      <c r="I31" t="inlineStr">
        <is>
          <t>-0.443506941</t>
        </is>
      </c>
    </row>
    <row r="32">
      <c r="E32" t="inlineStr">
        <is>
          <t>IRR without a sign change</t>
        </is>
      </c>
      <c r="F32" t="inlineStr">
        <is>
          <t>=IRR({1,2,3})</t>
        </is>
      </c>
      <c r="G32" t="e" cm="1">
        <f t="array" ref="G32">IRR({1,2,3})</f>
        <v>#NUM!</v>
      </c>
      <c r="I32" t="inlineStr">
        <is>
          <t>#NUM!</t>
        </is>
      </c>
    </row>
    <row r="33">
      <c r="E33" t="inlineStr">
        <is>
          <t>MIRR</t>
        </is>
      </c>
      <c r="F33" t="inlineStr">
        <is>
          <t>=MIRR(B2:B7,10%,12%)</t>
        </is>
      </c>
      <c r="G33" cm="1">
        <f t="array" ref="G33">MIRR(B2:B7,10%,12%)</f>
        <v>0.1260941303659051</v>
      </c>
      <c r="I33" t="inlineStr">
        <is>
          <t>0.126094130</t>
        </is>
      </c>
    </row>
    <row r="34">
      <c r="E34" t="inlineStr">
        <is>
          <t>MIRR 3 years</t>
        </is>
      </c>
      <c r="F34" t="inlineStr">
        <is>
          <t>=MIRR(B2:B5,10%,12%)</t>
        </is>
      </c>
      <c r="G34" cm="1">
        <f t="array" ref="G34">MIRR(B2:B5,10%,12%)</f>
        <v>-0.048044655249980806</v>
      </c>
      <c r="I34" t="inlineStr">
        <is>
          <t>-0.048044655</t>
        </is>
      </c>
    </row>
    <row r="35">
      <c r="E35" t="inlineStr">
        <is>
          <t>MIRR reinvest 14%</t>
        </is>
      </c>
      <c r="F35" t="inlineStr">
        <is>
          <t>=MIRR(B2:B7,10%,14%)</t>
        </is>
      </c>
      <c r="G35" cm="1">
        <f t="array" ref="G35">MIRR(B2:B7,10%,14%)</f>
        <v>0.13475911082831504</v>
      </c>
      <c r="I35" t="inlineStr">
        <is>
          <t>0.134759111</t>
        </is>
      </c>
    </row>
    <row r="36">
      <c r="E36" t="inlineStr">
        <is>
          <t>XNPV</t>
        </is>
      </c>
      <c r="F36" t="inlineStr">
        <is>
          <t>=XNPV(0.09,C2:C6,D2:D6)</t>
        </is>
      </c>
      <c r="G36" cm="1">
        <f t="array" ref="G36">XNPV(0.09,C2:C6,D2:D6)</f>
        <v>2086.6476020315354</v>
      </c>
      <c r="I36" t="inlineStr">
        <is>
          <t>2086.647602</t>
        </is>
      </c>
    </row>
    <row r="37">
      <c r="E37" t="inlineStr">
        <is>
          <t>XIRR</t>
        </is>
      </c>
      <c r="F37" t="inlineStr">
        <is>
          <t>=XIRR(C2:C6,D2:D6,0.1)</t>
        </is>
      </c>
      <c r="G37" cm="1">
        <f t="array" ref="G37">XIRR(C2:C6,D2:D6,0.1)</f>
        <v>0.3733625335188316</v>
      </c>
      <c r="I37" t="inlineStr">
        <is>
          <t>0.373362535</t>
        </is>
      </c>
    </row>
    <row r="38">
      <c r="E38" t="inlineStr">
        <is>
          <t>XIRR one year</t>
        </is>
      </c>
      <c r="F38" t="inlineStr">
        <is>
          <t>=XIRR({-100,110},{39448,39813})</t>
        </is>
      </c>
      <c r="G38" cm="1">
        <f t="array" ref="G38">XIRR({-100,110},{39448,39813})</f>
        <v>0.1</v>
      </c>
      <c r="I38" t="inlineStr">
        <is>
          <t>0.1</t>
        </is>
      </c>
    </row>
    <row r="39">
      <c r="E39" t="inlineStr">
        <is>
          <t>XIRR no sign change</t>
        </is>
      </c>
      <c r="F39" t="inlineStr">
        <is>
          <t>=XIRR({100,110},{39448,39813})</t>
        </is>
      </c>
      <c r="G39" t="e" cm="1">
        <f t="array" ref="G39">XIRR({100,110},{39448,39813})</f>
        <v>#NUM!</v>
      </c>
      <c r="I39" t="inlineStr">
        <is>
          <t>#NUM!</t>
        </is>
      </c>
    </row>
    <row r="40">
      <c r="E40" t="inlineStr">
        <is>
          <t>XNPV date before first</t>
        </is>
      </c>
      <c r="F40" t="inlineStr">
        <is>
          <t>=XNPV(0.09,C2:C6,{39448,39508,39400,39859,39904})</t>
        </is>
      </c>
      <c r="G40" t="e" cm="1">
        <f t="array" ref="G40">XNPV(0.09,C2:C6,{39448,39508,39400,39859,39904})</f>
        <v>#NUM!</v>
      </c>
      <c r="I40" t="inlineStr">
        <is>
          <t>#NUM!</t>
        </is>
      </c>
    </row>
    <row r="41">
      <c r="E41" t="inlineStr">
        <is>
          <t>FVSCHEDULE</t>
        </is>
      </c>
      <c r="F41" t="inlineStr">
        <is>
          <t>=FVSCHEDULE(1,{0.09,0.11,0.1})</t>
        </is>
      </c>
      <c r="G41" cm="1">
        <f t="array" ref="G41">FVSCHEDULE(1,{0.09,0.11,0.1})</f>
        <v>1.3308900000000004</v>
      </c>
      <c r="I41" t="inlineStr">
        <is>
          <t>1.33089</t>
        </is>
      </c>
    </row>
    <row r="42">
      <c r="E42" t="inlineStr">
        <is>
          <t>EFFECT</t>
        </is>
      </c>
      <c r="F42" t="inlineStr">
        <is>
          <t>=EFFECT(0.0525,4)</t>
        </is>
      </c>
      <c r="G42" cm="1">
        <f t="array" ref="G42">EFFECT(0.0525,4)</f>
        <v>0.05354266737075805</v>
      </c>
      <c r="I42" t="inlineStr">
        <is>
          <t>0.053542667</t>
        </is>
      </c>
    </row>
    <row r="43">
      <c r="E43" t="inlineStr">
        <is>
          <t>NOMINAL</t>
        </is>
      </c>
      <c r="F43" t="inlineStr">
        <is>
          <t>=NOMINAL(0.053543,4)</t>
        </is>
      </c>
      <c r="G43" cm="1">
        <f t="array" ref="G43">NOMINAL(0.053543,4)</f>
        <v>0.05250031986835587</v>
      </c>
      <c r="I43" t="inlineStr">
        <is>
          <t>0.052500319</t>
        </is>
      </c>
    </row>
    <row r="44">
      <c r="E44" t="inlineStr">
        <is>
          <t>RRI</t>
        </is>
      </c>
      <c r="F44" t="inlineStr">
        <is>
          <t>=RRI(96,10000,11000)</t>
        </is>
      </c>
      <c r="G44" cm="1">
        <f t="array" ref="G44">_xlfn.RRI(96,10000,11000)</f>
        <v>0.0009933073762913303</v>
      </c>
      <c r="I44" t="inlineStr">
        <is>
          <t>0.0009933</t>
        </is>
      </c>
    </row>
    <row r="45">
      <c r="E45" t="inlineStr">
        <is>
          <t>PDURATION</t>
        </is>
      </c>
      <c r="F45" t="inlineStr">
        <is>
          <t>=PDURATION(2.5%,2000,2200)</t>
        </is>
      </c>
      <c r="G45" cm="1">
        <f t="array" ref="G45">_xlfn.PDURATION(2.5%,2000,2200)</f>
        <v>3.859866162622648</v>
      </c>
      <c r="I45" t="inlineStr">
        <is>
          <t>3.859866163</t>
        </is>
      </c>
    </row>
    <row r="46">
      <c r="E46" t="inlineStr">
        <is>
          <t>PDURATION monthly</t>
        </is>
      </c>
      <c r="F46" t="inlineStr">
        <is>
          <t>=PDURATION(0.025/12,1000,1200)</t>
        </is>
      </c>
      <c r="G46" cm="1">
        <f t="array" ref="G46">_xlfn.PDURATION(0.025/12,1000,1200)</f>
        <v>87.60547641937562</v>
      </c>
      <c r="I46" t="inlineStr">
        <is>
          <t>87.60547642</t>
        </is>
      </c>
    </row>
    <row r="47">
      <c r="E47" t="inlineStr">
        <is>
          <t>SLN</t>
        </is>
      </c>
      <c r="F47" t="inlineStr">
        <is>
          <t>=SLN(30000,7500,10)</t>
        </is>
      </c>
      <c r="G47" cm="1">
        <f t="array" ref="G47">SLN(30000,7500,10)</f>
        <v>2250</v>
      </c>
      <c r="I47" t="inlineStr">
        <is>
          <t>2250</t>
        </is>
      </c>
    </row>
    <row r="48">
      <c r="E48" t="inlineStr">
        <is>
          <t>SYD year 1</t>
        </is>
      </c>
      <c r="F48" t="inlineStr">
        <is>
          <t>=SYD(30000,7500,10,1)</t>
        </is>
      </c>
      <c r="G48" cm="1">
        <f t="array" ref="G48">SYD(30000,7500,10,1)</f>
        <v>4090.909090909091</v>
      </c>
      <c r="I48" t="inlineStr">
        <is>
          <t>4090.909091</t>
        </is>
      </c>
    </row>
    <row r="49">
      <c r="E49" t="inlineStr">
        <is>
          <t>SYD year 10</t>
        </is>
      </c>
      <c r="F49" t="inlineStr">
        <is>
          <t>=SYD(30000,7500,10,10)</t>
        </is>
      </c>
      <c r="G49" cm="1">
        <f t="array" ref="G49">SYD(30000,7500,10,10)</f>
        <v>409.09090909090907</v>
      </c>
      <c r="I49" t="inlineStr">
        <is>
          <t>409.0909091</t>
        </is>
      </c>
    </row>
    <row r="50">
      <c r="E50" t="inlineStr">
        <is>
          <t>DB year 1 (7 months)</t>
        </is>
      </c>
      <c r="F50" t="inlineStr">
        <is>
          <t>=DB(1000000,100000,6,1,7)</t>
        </is>
      </c>
      <c r="G50" cm="1">
        <f t="array" ref="G50">DB(1000000,100000,6,1,7)</f>
        <v>186083.33333333334</v>
      </c>
      <c r="I50" t="inlineStr">
        <is>
          <t>186083.3333</t>
        </is>
      </c>
    </row>
    <row r="51">
      <c r="E51" t="inlineStr">
        <is>
          <t>DB year 2</t>
        </is>
      </c>
      <c r="F51" t="inlineStr">
        <is>
          <t>=DB(1000000,100000,6,2,7)</t>
        </is>
      </c>
      <c r="G51" cm="1">
        <f t="array" ref="G51">DB(1000000,100000,6,2,7)</f>
        <v>259639.41666666666</v>
      </c>
      <c r="I51" t="inlineStr">
        <is>
          <t>259639.4167</t>
        </is>
      </c>
    </row>
    <row r="52">
      <c r="E52" t="inlineStr">
        <is>
          <t>DB year 3</t>
        </is>
      </c>
      <c r="F52" t="inlineStr">
        <is>
          <t>=DB(1000000,100000,6,3,7)</t>
        </is>
      </c>
      <c r="G52" cm="1">
        <f t="array" ref="G52">DB(1000000,100000,6,3,7)</f>
        <v>176814.44275000002</v>
      </c>
      <c r="I52" t="inlineStr">
        <is>
          <t>176814.4428</t>
        </is>
      </c>
    </row>
    <row r="53">
      <c r="E53" t="inlineStr">
        <is>
          <t>DB year 4</t>
        </is>
      </c>
      <c r="F53" t="inlineStr">
        <is>
          <t>=DB(1000000,100000,6,4,7)</t>
        </is>
      </c>
      <c r="G53" cm="1">
        <f t="array" ref="G53">DB(1000000,100000,6,4,7)</f>
        <v>120410.63551274998</v>
      </c>
      <c r="I53" t="inlineStr">
        <is>
          <t>120410.6355</t>
        </is>
      </c>
    </row>
    <row r="54">
      <c r="E54" t="inlineStr">
        <is>
          <t>DB year 5</t>
        </is>
      </c>
      <c r="F54" t="inlineStr">
        <is>
          <t>=DB(1000000,100000,6,5,7)</t>
        </is>
      </c>
      <c r="G54" cm="1">
        <f t="array" ref="G54">DB(1000000,100000,6,5,7)</f>
        <v>81999.64278418274</v>
      </c>
      <c r="I54" t="inlineStr">
        <is>
          <t>81999.64278</t>
        </is>
      </c>
    </row>
    <row r="55">
      <c r="E55" t="inlineStr">
        <is>
          <t>DB year 6</t>
        </is>
      </c>
      <c r="F55" t="inlineStr">
        <is>
          <t>=DB(1000000,100000,6,6,7)</t>
        </is>
      </c>
      <c r="G55" cm="1">
        <f t="array" ref="G55">DB(1000000,100000,6,6,7)</f>
        <v>55841.75673602846</v>
      </c>
      <c r="I55" t="inlineStr">
        <is>
          <t>55841.75674</t>
        </is>
      </c>
    </row>
    <row r="56">
      <c r="E56" t="inlineStr">
        <is>
          <t>DB year 7 (5 months)</t>
        </is>
      </c>
      <c r="F56" t="inlineStr">
        <is>
          <t>=DB(1000000,100000,6,7,7)</t>
        </is>
      </c>
      <c r="G56" cm="1">
        <f t="array" ref="G56">DB(1000000,100000,6,7,7)</f>
        <v>15845.098473848071</v>
      </c>
      <c r="I56" t="inlineStr">
        <is>
          <t>15845.09847</t>
        </is>
      </c>
    </row>
    <row r="57">
      <c r="E57" t="inlineStr">
        <is>
          <t>DDB first day</t>
        </is>
      </c>
      <c r="F57" t="inlineStr">
        <is>
          <t>=DDB(2400,300,10*365,1)</t>
        </is>
      </c>
      <c r="G57" cm="1">
        <f t="array" ref="G57">DDB(2400,300,10*365,1)</f>
        <v>1.3150684931506476</v>
      </c>
      <c r="I57" t="inlineStr">
        <is>
          <t>1.315068493</t>
        </is>
      </c>
    </row>
    <row r="58">
      <c r="E58" t="inlineStr">
        <is>
          <t>DDB first month</t>
        </is>
      </c>
      <c r="F58" t="inlineStr">
        <is>
          <t>=DDB(2400,300,10*12,1,2)</t>
        </is>
      </c>
      <c r="G58" cm="1">
        <f t="array" ref="G58">DDB(2400,300,10*12,1,2)</f>
        <v>40</v>
      </c>
      <c r="I58" t="inlineStr">
        <is>
          <t>40</t>
        </is>
      </c>
    </row>
    <row r="59">
      <c r="E59" t="inlineStr">
        <is>
          <t>DDB first year</t>
        </is>
      </c>
      <c r="F59" t="inlineStr">
        <is>
          <t>=DDB(2400,300,10,1,2)</t>
        </is>
      </c>
      <c r="G59" cm="1">
        <f t="array" ref="G59">DDB(2400,300,10,1,2)</f>
        <v>480</v>
      </c>
      <c r="I59" t="inlineStr">
        <is>
          <t>480</t>
        </is>
      </c>
    </row>
    <row r="60">
      <c r="E60" t="inlineStr">
        <is>
          <t>DDB second year, factor 1.5</t>
        </is>
      </c>
      <c r="F60" t="inlineStr">
        <is>
          <t>=DDB(2400,300,10,2,1.5)</t>
        </is>
      </c>
      <c r="G60" cm="1">
        <f t="array" ref="G60">DDB(2400,300,10,2,1.5)</f>
        <v>306.0000000000002</v>
      </c>
      <c r="I60" t="inlineStr">
        <is>
          <t>306</t>
        </is>
      </c>
    </row>
    <row r="61">
      <c r="E61" t="inlineStr">
        <is>
          <t>DDB tenth year</t>
        </is>
      </c>
      <c r="F61" t="inlineStr">
        <is>
          <t>=DDB(2400,300,10,10)</t>
        </is>
      </c>
      <c r="G61" cm="1">
        <f t="array" ref="G61">DDB(2400,300,10,10)</f>
        <v>22.12254720000027</v>
      </c>
      <c r="I61" t="inlineStr">
        <is>
          <t>22.1225472</t>
        </is>
      </c>
    </row>
    <row r="62">
      <c r="E62" t="inlineStr">
        <is>
          <t>VDB first day</t>
        </is>
      </c>
      <c r="F62" t="inlineStr">
        <is>
          <t>=VDB(2400,300,10*365,0,1)</t>
        </is>
      </c>
      <c r="G62" cm="1">
        <f t="array" ref="G62">VDB(2400,300,10*365,0,1)</f>
        <v>1.3150684931506476</v>
      </c>
      <c r="I62" t="inlineStr">
        <is>
          <t>1.315068493</t>
        </is>
      </c>
    </row>
    <row r="63">
      <c r="E63" t="inlineStr">
        <is>
          <t>VDB first month</t>
        </is>
      </c>
      <c r="F63" t="inlineStr">
        <is>
          <t>=VDB(2400,300,10*12,0,1)</t>
        </is>
      </c>
      <c r="G63" cm="1">
        <f t="array" ref="G63">VDB(2400,300,10*12,0,1)</f>
        <v>40</v>
      </c>
      <c r="I63" t="inlineStr">
        <is>
          <t>40</t>
        </is>
      </c>
    </row>
    <row r="64">
      <c r="E64" t="inlineStr">
        <is>
          <t>VDB first year</t>
        </is>
      </c>
      <c r="F64" t="inlineStr">
        <is>
          <t>=VDB(2400,300,10,0,1)</t>
        </is>
      </c>
      <c r="G64" cm="1">
        <f t="array" ref="G64">VDB(2400,300,10,0,1)</f>
        <v>480</v>
      </c>
      <c r="I64" t="inlineStr">
        <is>
          <t>480</t>
        </is>
      </c>
    </row>
    <row r="65">
      <c r="E65" t="inlineStr">
        <is>
          <t>VDB months 6-18</t>
        </is>
      </c>
      <c r="F65" t="inlineStr">
        <is>
          <t>=VDB(2400,300,10*12,6,18)</t>
        </is>
      </c>
      <c r="G65" cm="1">
        <f t="array" ref="G65">VDB(2400,300,10*12,6,18)</f>
        <v>396.3060532647514</v>
      </c>
      <c r="I65" t="inlineStr">
        <is>
          <t>396.3060533</t>
        </is>
      </c>
    </row>
    <row r="66">
      <c r="E66" t="inlineStr">
        <is>
          <t>VDB months 6-18, factor 1.5</t>
        </is>
      </c>
      <c r="F66" t="inlineStr">
        <is>
          <t>=VDB(2400,300,10*12,6,18,1.5)</t>
        </is>
      </c>
      <c r="G66" cm="1">
        <f t="array" ref="G66">VDB(2400,300,10*12,6,18,1.5)</f>
        <v>311.8089366582335</v>
      </c>
      <c r="I66" t="inlineStr">
        <is>
          <t>311.8089367</t>
        </is>
      </c>
    </row>
    <row r="67">
      <c r="E67" t="inlineStr">
        <is>
          <t>VDB partial first year</t>
        </is>
      </c>
      <c r="F67" t="inlineStr">
        <is>
          <t>=VDB(2400,300,10,0,0.875,1.5)</t>
        </is>
      </c>
      <c r="G67" cm="1">
        <f t="array" ref="G67">VDB(2400,300,10,0,0.875,1.5)</f>
        <v>315</v>
      </c>
      <c r="I67" t="inlineStr">
        <is>
          <t>315</t>
        </is>
      </c>
    </row>
    <row r="68">
      <c r="E68" t="inlineStr">
        <is>
          <t>VDB no switch, partial periods</t>
        </is>
      </c>
      <c r="F68" t="inlineStr">
        <is>
          <t>=VDB(2400,300,10,1.5,3.5,2,TRUE)</t>
        </is>
      </c>
      <c r="G68" cm="1">
        <f t="array" ref="G68">VDB(2400,300,10,1.5,3.5,2,TRUE)</f>
        <v>622.0799999999998</v>
      </c>
      <c r="I68" t="inlineStr">
        <is>
          <t>622.08</t>
        </is>
      </c>
    </row>
    <row r="69">
      <c r="E69" t="inlineStr">
        <is>
          <t>DOLLARDE</t>
        </is>
      </c>
      <c r="F69" t="inlineStr">
        <is>
          <t>=DOLLARDE(1.02,16)</t>
        </is>
      </c>
      <c r="G69" cm="1">
        <f t="array" ref="G69">DOLLARDE(1.02,16)</f>
        <v>1.125</v>
      </c>
      <c r="I69" t="inlineStr">
        <is>
          <t>1.125</t>
        </is>
      </c>
    </row>
    <row r="70">
      <c r="E70" t="inlineStr">
        <is>
          <t>DOLLARDE 32nds</t>
        </is>
      </c>
      <c r="F70" t="inlineStr">
        <is>
          <t>=DOLLARDE(1.1,32)</t>
        </is>
      </c>
      <c r="G70" cm="1">
        <f t="array" ref="G70">DOLLARDE(1.1,32)</f>
        <v>1.3125000000000002</v>
      </c>
      <c r="I70" t="inlineStr">
        <is>
          <t>1.3125</t>
        </is>
      </c>
    </row>
    <row r="71">
      <c r="E71" t="inlineStr">
        <is>
          <t>DOLLARFR</t>
        </is>
      </c>
      <c r="F71" t="inlineStr">
        <is>
          <t>=DOLLARFR(1.125,16)</t>
        </is>
      </c>
      <c r="G71" cm="1">
        <f t="array" ref="G71">DOLLARFR(1.125,16)</f>
        <v>1.02</v>
      </c>
      <c r="I71" t="inlineStr">
        <is>
          <t>1.02</t>
        </is>
      </c>
    </row>
    <row r="72">
      <c r="E72" t="inlineStr">
        <is>
          <t>DOLLARFR 32nds</t>
        </is>
      </c>
      <c r="F72" t="inlineStr">
        <is>
          <t>=DOLLARFR(1.125,32)</t>
        </is>
      </c>
      <c r="G72" cm="1">
        <f t="array" ref="G72">DOLLARFR(1.125,32)</f>
        <v>1.04</v>
      </c>
      <c r="I72" t="inlineStr">
        <is>
          <t>1.04</t>
        </is>
      </c>
    </row>
    <row r="73">
      <c r="E73" t="inlineStr">
        <is>
          <t>TBILLEQ</t>
        </is>
      </c>
      <c r="F73" t="inlineStr">
        <is>
          <t>=TBILLEQ(DATE(2008,3,31),DATE(2008,6,1),9.14%)</t>
        </is>
      </c>
      <c r="G73" cm="1">
        <f t="array" ref="G73">TBILLEQ(DATE(2008,3,31),DATE(2008,6,1),9.14%)</f>
        <v>0.09415149356594303</v>
      </c>
      <c r="I73" t="inlineStr">
        <is>
          <t>0.094151494</t>
        </is>
      </c>
    </row>
    <row r="74">
      <c r="E74" t="inlineStr">
        <is>
          <t>TBILLEQ over 182 days</t>
        </is>
      </c>
      <c r="F74" t="inlineStr">
        <is>
          <t>=TBILLEQ(DATE(2008,3,31),DATE(2008,12,18),9%)</t>
        </is>
      </c>
      <c r="G74" cm="1">
        <f t="array" ref="G74">TBILLEQ(DATE(2008,3,31),DATE(2008,12,18),9%)</f>
        <v>0.09624055479974868</v>
      </c>
      <c r="I74" t="inlineStr">
        <is>
          <t>0.0962405547997487</t>
        </is>
      </c>
    </row>
    <row r="75">
      <c r="E75" t="inlineStr">
        <is>
          <t>TBILLPRICE</t>
        </is>
      </c>
      <c r="F75" t="inlineStr">
        <is>
          <t>=TBILLPRICE(DATE(2008,3,31),DATE(2008,6,1),9%)</t>
        </is>
      </c>
      <c r="G75" cm="1">
        <f t="array" ref="G75">TBILLPRICE(DATE(2008,3,31),DATE(2008,6,1),9%)</f>
        <v>98.45</v>
      </c>
      <c r="I75" t="inlineStr">
        <is>
          <t>98.45</t>
        </is>
      </c>
    </row>
    <row r="76">
      <c r="E76" t="inlineStr">
        <is>
          <t>TBILLYIELD</t>
        </is>
      </c>
      <c r="F76" t="inlineStr">
        <is>
          <t>=TBILLYIELD(DATE(2008,3,31),DATE(2008,6,1),98.45)</t>
        </is>
      </c>
      <c r="G76" cm="1">
        <f t="array" ref="G76">TBILLYIELD(DATE(2008,3,31),DATE(2008,6,1),98.45)</f>
        <v>0.09141696292534264</v>
      </c>
      <c r="I76" t="inlineStr">
        <is>
          <t>0.091417</t>
        </is>
      </c>
    </row>
    <row r="77">
      <c r="E77" t="inlineStr">
        <is>
          <t>TBILLPRICE more than a year</t>
        </is>
      </c>
      <c r="F77" t="inlineStr">
        <is>
          <t>=TBILLPRICE(DATE(2008,3,31),DATE(2009,4,1),9%)</t>
        </is>
      </c>
      <c r="G77" t="e" cm="1">
        <f t="array" ref="G77">TBILLPRICE(DATE(2008,3,31),DATE(2009,4,1),9%)</f>
        <v>#NUM!</v>
      </c>
      <c r="I77" t="inlineStr">
        <is>
          <t>#NUM!</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