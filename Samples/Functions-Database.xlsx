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base" sheetId="1" r:id="rId1"/>
  </sheets>
  <calcPr calcId="12221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m/d/yyyy"/>
  </numFmts>
  <fonts count="3">
    <font>
      <name val="Calibri"/>
      <family val="2"/>
      <color theme="1"/>
      <sz val="11"/>
    </font>
    <font>
      <name val="Calibri"/>
      <family val="2"/>
      <b val="1"/>
      <color rgb="FF000000"/>
      <sz val="11"/>
    </font>
    <font>
      <name val="Calibri"/>
      <family val="2"/>
      <color rgb="FF000000"/>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pane activePane="bottomLeft" state="frozen" topLeftCell="A2" ySplit="1"/>
      <selection activeCell="A1" pane="bottomLeft" sqref="A1"/>
    </sheetView>
  </sheetViews>
  <sheetFormatPr defaultRowHeight="15"/>
  <cols>
    <col min="1" max="13" width="12" customWidth="1"/>
    <col min="14" max="14" width="18" customWidth="1"/>
    <col min="15" max="15" width="12" customWidth="1"/>
    <col min="17" max="17" width="40" customWidth="1"/>
    <col min="18" max="18" width="44" customWidth="1"/>
    <col min="19" max="19" width="12" customWidth="1"/>
    <col min="21" max="21" width="16" customWidth="1"/>
  </cols>
  <sheetData>
    <row r="1">
      <c r="A1" s="1" t="inlineStr">
        <is>
          <t>Tree</t>
        </is>
      </c>
      <c r="B1" s="1" t="inlineStr">
        <is>
          <t>Height</t>
        </is>
      </c>
      <c r="C1" s="1" t="inlineStr">
        <is>
          <t>Age</t>
        </is>
      </c>
      <c r="D1" s="1" t="inlineStr">
        <is>
          <t>Yield</t>
        </is>
      </c>
      <c r="E1" s="1" t="inlineStr">
        <is>
          <t>Profit</t>
        </is>
      </c>
      <c r="F1" s="1" t="inlineStr">
        <is>
          <t>Height</t>
        </is>
      </c>
      <c r="Q1" s="1" t="inlineStr">
        <is>
          <t>Description</t>
        </is>
      </c>
      <c r="R1" s="1" t="inlineStr">
        <is>
          <t>Formula</t>
        </is>
      </c>
      <c r="S1" s="1" t="inlineStr">
        <is>
          <t>Result</t>
        </is>
      </c>
      <c r="U1" s="1" t="inlineStr">
        <is>
          <t>Expected</t>
        </is>
      </c>
    </row>
    <row r="2">
      <c r="A2" t="str">
        <f>"=Apple"</f>
        <v>=Apple</v>
      </c>
      <c r="B2" t="inlineStr">
        <is>
          <t>&gt;10</t>
        </is>
      </c>
      <c r="F2" t="inlineStr">
        <is>
          <t>&lt;16</t>
        </is>
      </c>
      <c r="Q2" t="inlineStr">
        <is>
          <t>DCOUNT apple trees 10-16 ft (Age)</t>
        </is>
      </c>
      <c r="R2" t="inlineStr">
        <is>
          <t>=DCOUNT(A5:E11,"Age",A1:F2)</t>
        </is>
      </c>
      <c r="S2" cm="1">
        <f t="array" ref="S2">DCOUNT(A5:E11,"Age",A1:F2)</f>
        <v>1</v>
      </c>
      <c r="U2" t="inlineStr">
        <is>
          <t>1</t>
        </is>
      </c>
    </row>
    <row r="3">
      <c r="A3" t="str">
        <f>"=Pear"</f>
        <v>=Pear</v>
      </c>
      <c r="Q3" t="inlineStr">
        <is>
          <t>DCOUNTA apple trees 10-16 ft (Profit)</t>
        </is>
      </c>
      <c r="R3" t="inlineStr">
        <is>
          <t>=DCOUNTA(A5:E11,"Profit",A1:F2)</t>
        </is>
      </c>
      <c r="S3" cm="1">
        <f t="array" ref="S3">DCOUNTA(A5:E11,"Profit",A1:F2)</f>
        <v>1</v>
      </c>
      <c r="U3" t="inlineStr">
        <is>
          <t>1</t>
        </is>
      </c>
    </row>
    <row r="4">
      <c r="Q4" t="inlineStr">
        <is>
          <t>DMAX profit of apple and pear trees</t>
        </is>
      </c>
      <c r="R4" t="inlineStr">
        <is>
          <t>=DMAX(A5:E11,"Profit",A1:A3)</t>
        </is>
      </c>
      <c r="S4" cm="1">
        <f t="array" ref="S4">DMAX(A5:E11,"Profit",A1:A3)</f>
        <v>105</v>
      </c>
      <c r="U4" t="inlineStr">
        <is>
          <t>105</t>
        </is>
      </c>
    </row>
    <row r="5">
      <c r="A5" s="1" t="inlineStr">
        <is>
          <t>Tree</t>
        </is>
      </c>
      <c r="B5" s="1" t="inlineStr">
        <is>
          <t>Height</t>
        </is>
      </c>
      <c r="C5" s="1" t="inlineStr">
        <is>
          <t>Age</t>
        </is>
      </c>
      <c r="D5" s="1" t="inlineStr">
        <is>
          <t>Yield</t>
        </is>
      </c>
      <c r="E5" s="1" t="inlineStr">
        <is>
          <t>Profit</t>
        </is>
      </c>
      <c r="Q5" t="inlineStr">
        <is>
          <t>DMIN profit of apple trees over 10 ft</t>
        </is>
      </c>
      <c r="R5" t="inlineStr">
        <is>
          <t>=DMIN(A5:E11,"Profit",A1:B2)</t>
        </is>
      </c>
      <c r="S5" cm="1">
        <f t="array" ref="S5">DMIN(A5:E11,"Profit",A1:B2)</f>
        <v>75</v>
      </c>
      <c r="U5" t="inlineStr">
        <is>
          <t>75</t>
        </is>
      </c>
    </row>
    <row r="6">
      <c r="A6" t="inlineStr">
        <is>
          <t>Apple</t>
        </is>
      </c>
      <c r="B6">
        <v>18</v>
      </c>
      <c r="C6">
        <v>20</v>
      </c>
      <c r="D6">
        <v>14</v>
      </c>
      <c r="E6">
        <v>105</v>
      </c>
      <c r="Q6" t="inlineStr">
        <is>
          <t>DSUM profit of apple trees</t>
        </is>
      </c>
      <c r="R6" t="inlineStr">
        <is>
          <t>=DSUM(A5:E11,"Profit",A1:A2)</t>
        </is>
      </c>
      <c r="S6" cm="1">
        <f t="array" ref="S6">DSUM(A5:E11,"Profit",A1:A2)</f>
        <v>225</v>
      </c>
      <c r="U6" t="inlineStr">
        <is>
          <t>225</t>
        </is>
      </c>
    </row>
    <row r="7">
      <c r="A7" t="inlineStr">
        <is>
          <t>Pear</t>
        </is>
      </c>
      <c r="B7">
        <v>12</v>
      </c>
      <c r="C7">
        <v>12</v>
      </c>
      <c r="D7">
        <v>10</v>
      </c>
      <c r="E7">
        <v>96</v>
      </c>
      <c r="Q7" t="inlineStr">
        <is>
          <t>DSUM profit of apple trees 10-16 ft</t>
        </is>
      </c>
      <c r="R7" t="inlineStr">
        <is>
          <t>=DSUM(A5:E11,"Profit",A1:F2)</t>
        </is>
      </c>
      <c r="S7" cm="1">
        <f t="array" ref="S7">DSUM(A5:E11,"Profit",A1:F2)</f>
        <v>75</v>
      </c>
      <c r="U7" t="inlineStr">
        <is>
          <t>75</t>
        </is>
      </c>
    </row>
    <row r="8">
      <c r="A8" t="inlineStr">
        <is>
          <t>Cherry</t>
        </is>
      </c>
      <c r="B8">
        <v>13</v>
      </c>
      <c r="C8">
        <v>14</v>
      </c>
      <c r="D8">
        <v>9</v>
      </c>
      <c r="E8">
        <v>105</v>
      </c>
      <c r="Q8" t="inlineStr">
        <is>
          <t>DPRODUCT yields: apples 10-16 ft or pears</t>
        </is>
      </c>
      <c r="R8" t="inlineStr">
        <is>
          <t>=DPRODUCT(A5:E11,"Yield",A1:F3)</t>
        </is>
      </c>
      <c r="S8" cm="1">
        <f t="array" ref="S8">DPRODUCT(A5:E11,"Yield",A1:F3)</f>
        <v>800</v>
      </c>
      <c r="U8" t="inlineStr">
        <is>
          <t>800</t>
        </is>
      </c>
    </row>
    <row r="9">
      <c r="A9" t="inlineStr">
        <is>
          <t>Apple</t>
        </is>
      </c>
      <c r="B9">
        <v>14</v>
      </c>
      <c r="C9">
        <v>15</v>
      </c>
      <c r="D9">
        <v>10</v>
      </c>
      <c r="E9">
        <v>75</v>
      </c>
      <c r="Q9" t="inlineStr">
        <is>
          <t>DAVERAGE yield of apple trees over 10 ft</t>
        </is>
      </c>
      <c r="R9" t="inlineStr">
        <is>
          <t>=DAVERAGE(A5:E11,"Yield",A1:B2)</t>
        </is>
      </c>
      <c r="S9" cm="1">
        <f t="array" ref="S9">DAVERAGE(A5:E11,"Yield",A1:B2)</f>
        <v>12</v>
      </c>
      <c r="U9" t="inlineStr">
        <is>
          <t>12</t>
        </is>
      </c>
    </row>
    <row r="10">
      <c r="A10" t="inlineStr">
        <is>
          <t>Pear</t>
        </is>
      </c>
      <c r="B10">
        <v>9</v>
      </c>
      <c r="C10">
        <v>8</v>
      </c>
      <c r="D10">
        <v>8</v>
      </c>
      <c r="E10">
        <v>76.8</v>
      </c>
      <c r="Q10" t="inlineStr">
        <is>
          <t>DAVERAGE age, database as its own criteria</t>
        </is>
      </c>
      <c r="R10" t="inlineStr">
        <is>
          <t>=DAVERAGE(A5:E11,3,A5:E11)</t>
        </is>
      </c>
      <c r="S10" cm="1">
        <f t="array" ref="S10">DAVERAGE(A5:E11,3,A5:E11)</f>
        <v>13</v>
      </c>
      <c r="U10" t="inlineStr">
        <is>
          <t>13</t>
        </is>
      </c>
    </row>
    <row r="11">
      <c r="A11" t="inlineStr">
        <is>
          <t>Apple</t>
        </is>
      </c>
      <c r="B11">
        <v>8</v>
      </c>
      <c r="C11">
        <v>9</v>
      </c>
      <c r="D11">
        <v>6</v>
      </c>
      <c r="E11">
        <v>45</v>
      </c>
      <c r="Q11" t="inlineStr">
        <is>
          <t>DSTDEV yield of apples and pears</t>
        </is>
      </c>
      <c r="R11" t="inlineStr">
        <is>
          <t>=DSTDEV(A5:E11,"Yield",A1:A3)</t>
        </is>
      </c>
      <c r="S11" cm="1">
        <f t="array" ref="S11">DSTDEV(A5:E11,"Yield",A1:A3)</f>
        <v>2.9664793948382653</v>
      </c>
      <c r="U11" t="inlineStr">
        <is>
          <t>2.96647939483827</t>
        </is>
      </c>
    </row>
    <row r="12">
      <c r="Q12" t="inlineStr">
        <is>
          <t>DSTDEVP yield of apples and pears</t>
        </is>
      </c>
      <c r="R12" t="inlineStr">
        <is>
          <t>=DSTDEVP(A5:E11,"Yield",A1:A3)</t>
        </is>
      </c>
      <c r="S12" cm="1">
        <f t="array" ref="S12">DSTDEVP(A5:E11,"Yield",A1:A3)</f>
        <v>2.65329983228432</v>
      </c>
      <c r="U12" t="inlineStr">
        <is>
          <t>2.65329983228432</t>
        </is>
      </c>
    </row>
    <row r="13">
      <c r="Q13" t="inlineStr">
        <is>
          <t>DVAR yield of apples and pears</t>
        </is>
      </c>
      <c r="R13" t="inlineStr">
        <is>
          <t>=DVAR(A5:E11,"Yield",A1:A3)</t>
        </is>
      </c>
      <c r="S13" cm="1">
        <f t="array" ref="S13">DVAR(A5:E11,"Yield",A1:A3)</f>
        <v>8.8</v>
      </c>
      <c r="U13" t="inlineStr">
        <is>
          <t>8.8</t>
        </is>
      </c>
    </row>
    <row r="14">
      <c r="A14" s="1" t="inlineStr">
        <is>
          <t>Type</t>
        </is>
      </c>
      <c r="B14" s="1" t="inlineStr">
        <is>
          <t>Salesperson</t>
        </is>
      </c>
      <c r="C14" s="1" t="inlineStr">
        <is>
          <t>Sales</t>
        </is>
      </c>
      <c r="Q14" t="inlineStr">
        <is>
          <t>DVARP yield of apples and pears</t>
        </is>
      </c>
      <c r="R14" t="inlineStr">
        <is>
          <t>=DVARP(A5:E11,"Yield",A1:A3)</t>
        </is>
      </c>
      <c r="S14" cm="1">
        <f t="array" ref="S14">DVARP(A5:E11,"Yield",A1:A3)</f>
        <v>7.040000000000001</v>
      </c>
      <c r="U14" t="inlineStr">
        <is>
          <t>7.04</t>
        </is>
      </c>
    </row>
    <row r="15">
      <c r="A15" t="inlineStr">
        <is>
          <t>Beverages</t>
        </is>
      </c>
      <c r="B15" t="inlineStr">
        <is>
          <t>Suyama</t>
        </is>
      </c>
      <c r="C15">
        <v>5122</v>
      </c>
      <c r="Q15" t="inlineStr">
        <is>
          <t>DGET with several matches</t>
        </is>
      </c>
      <c r="R15" t="inlineStr">
        <is>
          <t>=DGET(A5:E11,"Yield",A1:A3)</t>
        </is>
      </c>
      <c r="S15" t="e" cm="1">
        <f t="array" ref="S15">DGET(A5:E11,"Yield",A1:A3)</f>
        <v>#NUM!</v>
      </c>
      <c r="U15" t="inlineStr">
        <is>
          <t>#NUM!</t>
        </is>
      </c>
    </row>
    <row r="16">
      <c r="A16" t="inlineStr">
        <is>
          <t>Meat</t>
        </is>
      </c>
      <c r="B16" t="inlineStr">
        <is>
          <t>Davolio</t>
        </is>
      </c>
      <c r="C16">
        <v>450</v>
      </c>
      <c r="Q16" t="inlineStr">
        <is>
          <t>DGET with one match</t>
        </is>
      </c>
      <c r="R16" t="inlineStr">
        <is>
          <t>=DGET(A5:E11,"Yield",A1:F2)</t>
        </is>
      </c>
      <c r="S16" cm="1">
        <f t="array" ref="S16">DGET(A5:E11,"Yield",A1:F2)</f>
        <v>10</v>
      </c>
      <c r="U16" t="inlineStr">
        <is>
          <t>10</t>
        </is>
      </c>
    </row>
    <row r="17">
      <c r="A17" t="inlineStr">
        <is>
          <t>produce</t>
        </is>
      </c>
      <c r="B17" t="inlineStr">
        <is>
          <t>Buchanan</t>
        </is>
      </c>
      <c r="C17">
        <v>6328</v>
      </c>
      <c r="Q17" t="inlineStr">
        <is>
          <t>DCOUNT with the field omitted</t>
        </is>
      </c>
      <c r="R17" t="inlineStr">
        <is>
          <t>=DCOUNT(A5:E11,,A1:A2)</t>
        </is>
      </c>
      <c r="S17" cm="1">
        <f t="array" ref="S17">DCOUNT(A5:E11,,A1:A2)</f>
        <v>3</v>
      </c>
      <c r="U17" t="inlineStr">
        <is>
          <t>3</t>
        </is>
      </c>
    </row>
    <row r="18">
      <c r="A18" t="inlineStr">
        <is>
          <t>Produce</t>
        </is>
      </c>
      <c r="B18" t="inlineStr">
        <is>
          <t>Davolio</t>
        </is>
      </c>
      <c r="C18">
        <v>6544</v>
      </c>
      <c r="Q18" t="inlineStr">
        <is>
          <t>DSUM field label in another case</t>
        </is>
      </c>
      <c r="R18" t="inlineStr">
        <is>
          <t>=DSUM(A5:E11,"profit",A1:A2)</t>
        </is>
      </c>
      <c r="S18" cm="1">
        <f t="array" ref="S18">DSUM(A5:E11,"profit",A1:A2)</f>
        <v>225</v>
      </c>
      <c r="U18" t="inlineStr">
        <is>
          <t>225</t>
        </is>
      </c>
    </row>
    <row r="19">
      <c r="Q19" t="inlineStr">
        <is>
          <t>DSUM unknown field label</t>
        </is>
      </c>
      <c r="R19" t="inlineStr">
        <is>
          <t>=DSUM(A5:E11,"Price",A1:A2)</t>
        </is>
      </c>
      <c r="S19" t="e" cm="1">
        <f t="array" ref="S19">DSUM(A5:E11,"Price",A1:A2)</f>
        <v>#VALUE!</v>
      </c>
      <c r="U19" t="inlineStr">
        <is>
          <t>#VALUE!</t>
        </is>
      </c>
    </row>
    <row r="20">
      <c r="Q20" t="inlineStr">
        <is>
          <t>DSUM field number out of range</t>
        </is>
      </c>
      <c r="R20" t="inlineStr">
        <is>
          <t>=DSUM(A5:E11,6,A1:A2)</t>
        </is>
      </c>
      <c r="S20" t="e" cm="1">
        <f t="array" ref="S20">DSUM(A5:E11,6,A1:A2)</f>
        <v>#VALUE!</v>
      </c>
      <c r="U20" t="inlineStr">
        <is>
          <t>#VALUE!</t>
        </is>
      </c>
    </row>
    <row r="21">
      <c r="A21" s="1" t="inlineStr">
        <is>
          <t>Salesperson</t>
        </is>
      </c>
      <c r="B21" s="1" t="inlineStr">
        <is>
          <t>Salesperson</t>
        </is>
      </c>
      <c r="C21" s="1" t="inlineStr">
        <is>
          <t>Type</t>
        </is>
      </c>
      <c r="D21" s="1" t="inlineStr">
        <is>
          <t>Sales</t>
        </is>
      </c>
      <c r="E21" s="1" t="inlineStr">
        <is>
          <t>Type</t>
        </is>
      </c>
      <c r="F21" s="1" t="inlineStr">
        <is>
          <t>Salesperson</t>
        </is>
      </c>
      <c r="G21" s="1" t="inlineStr">
        <is>
          <t>Salesperson</t>
        </is>
      </c>
      <c r="H21" s="1" t="inlineStr">
        <is>
          <t>Sales</t>
        </is>
      </c>
      <c r="I21" s="1" t="inlineStr">
        <is>
          <t>Sales</t>
        </is>
      </c>
      <c r="J21" s="1" t="inlineStr">
        <is>
          <t>Sales</t>
        </is>
      </c>
      <c r="K21" s="1" t="inlineStr">
        <is>
          <t>Salesperson</t>
        </is>
      </c>
      <c r="L21" s="1" t="inlineStr">
        <is>
          <t>Salesperson</t>
        </is>
      </c>
      <c r="M21" s="1" t="inlineStr">
        <is>
          <t>Type</t>
        </is>
      </c>
      <c r="N21" s="1" t="inlineStr">
        <is>
          <t>Calculated Average</t>
        </is>
      </c>
      <c r="Q21" t="inlineStr">
        <is>
          <t>DSUM blank condition matches all</t>
        </is>
      </c>
      <c r="R21" t="inlineStr">
        <is>
          <t>=DSUM(A5:E11,"Profit",C1:C2)</t>
        </is>
      </c>
      <c r="S21" cm="1">
        <f t="array" ref="S21">DSUM(A5:E11,"Profit",C1:C2)</f>
        <v>502.8</v>
      </c>
      <c r="U21" t="inlineStr">
        <is>
          <t>502.8</t>
        </is>
      </c>
    </row>
    <row r="22">
      <c r="A22" t="str">
        <f>"=Davolio"</f>
        <v>=Davolio</v>
      </c>
      <c r="B22" t="str">
        <f>"=Davolio"</f>
        <v>=Davolio</v>
      </c>
      <c r="C22" t="str">
        <f>"=Produce"</f>
        <v>=Produce</v>
      </c>
      <c r="D22" t="inlineStr">
        <is>
          <t>&gt;1000</t>
        </is>
      </c>
      <c r="E22" t="str">
        <f>"=Produce"</f>
        <v>=Produce</v>
      </c>
      <c r="G22" t="str">
        <f>"=Davolio"</f>
        <v>=Davolio</v>
      </c>
      <c r="H22" t="inlineStr">
        <is>
          <t>&gt;3000</t>
        </is>
      </c>
      <c r="I22" t="inlineStr">
        <is>
          <t>&gt;5000</t>
        </is>
      </c>
      <c r="J22" t="inlineStr">
        <is>
          <t>&lt;8000</t>
        </is>
      </c>
      <c r="K22" t="inlineStr">
        <is>
          <t>Dav</t>
        </is>
      </c>
      <c r="L22" t="inlineStr">
        <is>
          <t>=Dav</t>
        </is>
      </c>
      <c r="M22" t="str">
        <f>"=*ea*"</f>
        <v>=*ea*</v>
      </c>
      <c r="N22" t="b">
        <f>C15&gt;AVERAGE($C$15:$C$18)</f>
        <v>1</v>
      </c>
      <c r="O22" t="b">
        <f>AND(A15="Produce",C15&gt;6400)</f>
        <v>0</v>
      </c>
      <c r="Q22" t="inlineStr">
        <is>
          <t>DSTDEV of one value</t>
        </is>
      </c>
      <c r="R22" t="inlineStr">
        <is>
          <t>=DSTDEV(A5:E11,"Yield",A1:F2)</t>
        </is>
      </c>
      <c r="S22" t="e" cm="1">
        <f t="array" ref="S22">DSTDEV(A5:E11,"Yield",A1:F2)</f>
        <v>#DIV/0!</v>
      </c>
      <c r="U22" t="inlineStr">
        <is>
          <t>#DIV/0!</t>
        </is>
      </c>
    </row>
    <row r="23">
      <c r="B23" t="str">
        <f>"=Buchanan"</f>
        <v>=Buchanan</v>
      </c>
      <c r="F23" t="str">
        <f>"=Davolio"</f>
        <v>=Davolio</v>
      </c>
      <c r="G23" t="str">
        <f>"=Buchanan"</f>
        <v>=Buchanan</v>
      </c>
      <c r="H23" t="inlineStr">
        <is>
          <t>&gt;1500</t>
        </is>
      </c>
      <c r="I23" t="inlineStr">
        <is>
          <t>&lt;500</t>
        </is>
      </c>
      <c r="Q23" t="inlineStr">
        <is>
          <t>DSUM Salesperson =Davolio</t>
        </is>
      </c>
      <c r="R23" t="inlineStr">
        <is>
          <t>=DSUM(A14:C18,"Sales",A21:A22)</t>
        </is>
      </c>
      <c r="S23" cm="1">
        <f t="array" ref="S23">DSUM(A14:C18,"Sales",A21:A22)</f>
        <v>6994</v>
      </c>
      <c r="U23" t="inlineStr">
        <is>
          <t>6994</t>
        </is>
      </c>
    </row>
    <row r="24">
      <c r="Q24" t="inlineStr">
        <is>
          <t>DSUM Davolio or Buchanan</t>
        </is>
      </c>
      <c r="R24" t="inlineStr">
        <is>
          <t>=DSUM(A14:C18,"Sales",B21:B23)</t>
        </is>
      </c>
      <c r="S24" cm="1">
        <f t="array" ref="S24">DSUM(A14:C18,"Sales",B21:B23)</f>
        <v>13322</v>
      </c>
      <c r="U24" t="inlineStr">
        <is>
          <t>13322</t>
        </is>
      </c>
    </row>
    <row r="25">
      <c r="Q25" t="inlineStr">
        <is>
          <t>DSUM Produce and Sales &gt; 1000</t>
        </is>
      </c>
      <c r="R25" t="inlineStr">
        <is>
          <t>=DSUM(A14:C18,"Sales",C21:D22)</t>
        </is>
      </c>
      <c r="S25" cm="1">
        <f t="array" ref="S25">DSUM(A14:C18,"Sales",C21:D22)</f>
        <v>12872</v>
      </c>
      <c r="U25" t="inlineStr">
        <is>
          <t>12872</t>
        </is>
      </c>
    </row>
    <row r="26">
      <c r="A26" s="1" t="inlineStr">
        <is>
          <t>Date</t>
        </is>
      </c>
      <c r="B26" s="1" t="inlineStr">
        <is>
          <t>Item</t>
        </is>
      </c>
      <c r="C26" s="1" t="inlineStr">
        <is>
          <t>Qty</t>
        </is>
      </c>
      <c r="E26" s="1" t="inlineStr">
        <is>
          <t>Date</t>
        </is>
      </c>
      <c r="F26" s="1" t="inlineStr">
        <is>
          <t>Date</t>
        </is>
      </c>
      <c r="G26" s="1" t="inlineStr">
        <is>
          <t>Item</t>
        </is>
      </c>
      <c r="Q26" t="inlineStr">
        <is>
          <t>DSUM Produce or Davolio</t>
        </is>
      </c>
      <c r="R26" t="inlineStr">
        <is>
          <t>=DSUM(A14:C18,"Sales",E21:F23)</t>
        </is>
      </c>
      <c r="S26" cm="1">
        <f t="array" ref="S26">DSUM(A14:C18,"Sales",E21:F23)</f>
        <v>13322</v>
      </c>
      <c r="U26" t="inlineStr">
        <is>
          <t>13322</t>
        </is>
      </c>
    </row>
    <row r="27">
      <c r="A27" s="2">
        <v>46023</v>
      </c>
      <c r="B27" t="inlineStr">
        <is>
          <t>Apple</t>
        </is>
      </c>
      <c r="C27">
        <v>5</v>
      </c>
      <c r="E27" t="inlineStr">
        <is>
          <t>&gt;=1/2/2026</t>
        </is>
      </c>
      <c r="F27" t="inlineStr">
        <is>
          <t>&lt;1/4/2026</t>
        </is>
      </c>
      <c r="G27" t="inlineStr">
        <is>
          <t>P</t>
        </is>
      </c>
      <c r="Q27" t="inlineStr">
        <is>
          <t>DSUM (Davolio, &gt;3000) or (Buchanan, &gt;1500)</t>
        </is>
      </c>
      <c r="R27" t="inlineStr">
        <is>
          <t>=DSUM(A14:C18,"Sales",G21:H23)</t>
        </is>
      </c>
      <c r="S27" cm="1">
        <f t="array" ref="S27">DSUM(A14:C18,"Sales",G21:H23)</f>
        <v>12872</v>
      </c>
      <c r="U27" t="inlineStr">
        <is>
          <t>12872</t>
        </is>
      </c>
    </row>
    <row r="28">
      <c r="A28" s="2">
        <v>46024</v>
      </c>
      <c r="B28" t="inlineStr">
        <is>
          <t>Pear</t>
        </is>
      </c>
      <c r="C28">
        <v>3</v>
      </c>
      <c r="Q28" t="inlineStr">
        <is>
          <t>DSUM 5000-8000 or under 500</t>
        </is>
      </c>
      <c r="R28" t="inlineStr">
        <is>
          <t>=DSUM(A14:C18,"Sales",I21:J23)</t>
        </is>
      </c>
      <c r="S28" cm="1">
        <f t="array" ref="S28">DSUM(A14:C18,"Sales",I21:J23)</f>
        <v>18444</v>
      </c>
      <c r="U28" t="inlineStr">
        <is>
          <t>18444</t>
        </is>
      </c>
    </row>
    <row r="29">
      <c r="A29" s="2">
        <v>46025</v>
      </c>
      <c r="B29" t="inlineStr">
        <is>
          <t>Apple</t>
        </is>
      </c>
      <c r="C29">
        <v>8</v>
      </c>
      <c r="Q29" t="inlineStr">
        <is>
          <t>DSUM Salesperson begins with Dav</t>
        </is>
      </c>
      <c r="R29" t="inlineStr">
        <is>
          <t>=DSUM(A14:C18,"Sales",K21:K22)</t>
        </is>
      </c>
      <c r="S29" cm="1">
        <f t="array" ref="S29">DSUM(A14:C18,"Sales",K21:K22)</f>
        <v>6994</v>
      </c>
      <c r="U29" t="inlineStr">
        <is>
          <t>6994</t>
        </is>
      </c>
    </row>
    <row r="30">
      <c r="A30" s="2">
        <v>46026</v>
      </c>
      <c r="B30" t="inlineStr">
        <is>
          <t>Plum</t>
        </is>
      </c>
      <c r="C30">
        <v>2</v>
      </c>
      <c r="Q30" t="inlineStr">
        <is>
          <t>DCOUNTA Salesperson exactly =Dav</t>
        </is>
      </c>
      <c r="R30" t="inlineStr">
        <is>
          <t>=DCOUNTA(A14:C18,,L21:L22)</t>
        </is>
      </c>
      <c r="S30" cm="1">
        <f t="array" ref="S30">DCOUNTA(A14:C18,,L21:L22)</f>
        <v>0</v>
      </c>
      <c r="U30" t="inlineStr">
        <is>
          <t>0</t>
        </is>
      </c>
    </row>
    <row r="31">
      <c r="Q31" t="inlineStr">
        <is>
          <t>DAVERAGE with no match</t>
        </is>
      </c>
      <c r="R31" t="inlineStr">
        <is>
          <t>=DAVERAGE(A14:C18,"Sales",L21:L22)</t>
        </is>
      </c>
      <c r="S31" t="e" cm="1">
        <f t="array" ref="S31">DAVERAGE(A14:C18,"Sales",L21:L22)</f>
        <v>#DIV/0!</v>
      </c>
      <c r="U31" t="inlineStr">
        <is>
          <t>#DIV/0!</t>
        </is>
      </c>
    </row>
    <row r="32">
      <c r="Q32" t="inlineStr">
        <is>
          <t>DSUM Type contains ea</t>
        </is>
      </c>
      <c r="R32" t="inlineStr">
        <is>
          <t>=DSUM(A14:C18,"Sales",M21:M22)</t>
        </is>
      </c>
      <c r="S32" cm="1">
        <f t="array" ref="S32">DSUM(A14:C18,"Sales",M21:M22)</f>
        <v>450</v>
      </c>
      <c r="U32" t="inlineStr">
        <is>
          <t>450</t>
        </is>
      </c>
    </row>
    <row r="33">
      <c r="Q33" t="inlineStr">
        <is>
          <t>DSUM computed: above average</t>
        </is>
      </c>
      <c r="R33" t="inlineStr">
        <is>
          <t>=DSUM(A14:C18,"Sales",N21:N22)</t>
        </is>
      </c>
      <c r="S33" cm="1">
        <f t="array" ref="S33">DSUM(A14:C18,"Sales",N21:N22)</f>
        <v>17994</v>
      </c>
      <c r="U33" t="inlineStr">
        <is>
          <t>17994</t>
        </is>
      </c>
    </row>
    <row r="34">
      <c r="Q34" t="inlineStr">
        <is>
          <t>DSUM computed, blank label</t>
        </is>
      </c>
      <c r="R34" t="inlineStr">
        <is>
          <t>=DSUM(A14:C18,"Sales",O21:O22)</t>
        </is>
      </c>
      <c r="S34" cm="1">
        <f t="array" ref="S34">DSUM(A14:C18,"Sales",O21:O22)</f>
        <v>6544</v>
      </c>
      <c r="U34" t="inlineStr">
        <is>
          <t>6544</t>
        </is>
      </c>
    </row>
    <row r="35">
      <c r="Q35" t="inlineStr">
        <is>
          <t>DGET computed, blank label</t>
        </is>
      </c>
      <c r="R35" t="inlineStr">
        <is>
          <t>=DGET(A14:C18,"Salesperson",O21:O22)</t>
        </is>
      </c>
      <c r="S35" t="str" cm="1">
        <f t="array" ref="S35">DGET(A14:C18,"Salesperson",O21:O22)</f>
        <v>Davolio</v>
      </c>
      <c r="U35" t="inlineStr">
        <is>
          <t>Davolio</t>
        </is>
      </c>
    </row>
    <row r="36">
      <c r="Q36" t="inlineStr">
        <is>
          <t>DSUM blank criteria row matches all</t>
        </is>
      </c>
      <c r="R36" t="inlineStr">
        <is>
          <t>=DSUM(A14:C18,"Sales",A21:A23)</t>
        </is>
      </c>
      <c r="S36" cm="1">
        <f t="array" ref="S36">DSUM(A14:C18,"Sales",A21:A23)</f>
        <v>18444</v>
      </c>
      <c r="U36" t="inlineStr">
        <is>
          <t>18444</t>
        </is>
      </c>
    </row>
    <row r="37">
      <c r="Q37" t="inlineStr">
        <is>
          <t>DMAX Type =Produce (any case)</t>
        </is>
      </c>
      <c r="R37" t="inlineStr">
        <is>
          <t>=DMAX(A14:C18,3,C21:C22)</t>
        </is>
      </c>
      <c r="S37" cm="1">
        <f t="array" ref="S37">DMAX(A14:C18,3,C21:C22)</f>
        <v>6544</v>
      </c>
      <c r="U37" t="inlineStr">
        <is>
          <t>6544</t>
        </is>
      </c>
    </row>
    <row r="38">
      <c r="Q38" t="inlineStr">
        <is>
          <t>DSUM dates 1/2/2026 to before 1/4/2026</t>
        </is>
      </c>
      <c r="R38" t="inlineStr">
        <is>
          <t>=DSUM(A26:C30,"Qty",E26:F27)</t>
        </is>
      </c>
      <c r="S38" cm="1">
        <f t="array" ref="S38">DSUM(A26:C30,"Qty",E26:F27)</f>
        <v>11</v>
      </c>
      <c r="U38" t="inlineStr">
        <is>
          <t>11</t>
        </is>
      </c>
    </row>
    <row r="39">
      <c r="Q39" t="inlineStr">
        <is>
          <t>DSUM Item begins with P</t>
        </is>
      </c>
      <c r="R39" t="inlineStr">
        <is>
          <t>=DSUM(A26:C30,3,G26:G27)</t>
        </is>
      </c>
      <c r="S39" cm="1">
        <f t="array" ref="S39">DSUM(A26:C30,3,G26:G27)</f>
        <v>5</v>
      </c>
      <c r="U39"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