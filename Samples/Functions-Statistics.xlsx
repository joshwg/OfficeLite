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istics" sheetId="1" r:id="rId1"/>
    <sheet name="Arrays" sheetId="2" r:id="rId4"/>
  </sheet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Calibri"/>
      <family val="2"/>
      <b val="1"/>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pane activePane="bottomLeft" state="frozen" topLeftCell="A2" ySplit="1"/>
      <selection activeCell="A1" pane="bottomLeft" sqref="A1"/>
    </sheetView>
  </sheetViews>
  <sheetFormatPr defaultRowHeight="15"/>
  <cols>
    <col min="5" max="5" width="36" customWidth="1"/>
    <col min="6" max="6" width="60" customWidth="1"/>
    <col min="7" max="7" width="16" customWidth="1"/>
    <col min="9" max="9" width="20" customWidth="1"/>
  </cols>
  <sheetData>
    <row r="1">
      <c r="A1" s="1" t="inlineStr">
        <is>
          <t>Value</t>
        </is>
      </c>
      <c r="B1" s="1" t="inlineStr">
        <is>
          <t>Y</t>
        </is>
      </c>
      <c r="C1" s="1" t="inlineStr">
        <is>
          <t>X</t>
        </is>
      </c>
      <c r="E1" s="1" t="inlineStr">
        <is>
          <t>Description</t>
        </is>
      </c>
      <c r="F1" s="1" t="inlineStr">
        <is>
          <t>Formula</t>
        </is>
      </c>
      <c r="G1" s="1" t="inlineStr">
        <is>
          <t>Result</t>
        </is>
      </c>
      <c r="I1" s="1" t="inlineStr">
        <is>
          <t>Expected</t>
        </is>
      </c>
    </row>
    <row r="2">
      <c r="A2">
        <v>7</v>
      </c>
      <c r="B2">
        <v>7</v>
      </c>
      <c r="C2">
        <v>1</v>
      </c>
      <c r="E2" t="inlineStr">
        <is>
          <t>RANK descending in A2:A6</t>
        </is>
      </c>
      <c r="F2" t="inlineStr">
        <is>
          <t>=RANK(A3,$A$2:$A$6)</t>
        </is>
      </c>
      <c r="G2" cm="1">
        <f t="array" ref="G2">RANK(A3,$A$2:$A$6)</f>
        <v>2</v>
      </c>
      <c r="I2" t="inlineStr">
        <is>
          <t>2</t>
        </is>
      </c>
    </row>
    <row r="3">
      <c r="A3">
        <v>3.5</v>
      </c>
      <c r="B3">
        <v>3.5</v>
      </c>
      <c r="C3">
        <v>2</v>
      </c>
      <c r="E3" t="inlineStr">
        <is>
          <t>RANK ascending (ties share)</t>
        </is>
      </c>
      <c r="F3" t="inlineStr">
        <is>
          <t>=RANK(A3,$A$2:$A$6,1)</t>
        </is>
      </c>
      <c r="G3" cm="1">
        <f t="array" ref="G3">RANK(A3,$A$2:$A$6,1)</f>
        <v>3</v>
      </c>
      <c r="I3" t="inlineStr">
        <is>
          <t>3</t>
        </is>
      </c>
    </row>
    <row r="4">
      <c r="A4">
        <v>3.5</v>
      </c>
      <c r="B4">
        <v>3.5</v>
      </c>
      <c r="C4" t="inlineStr">
        <is>
          <t>a</t>
        </is>
      </c>
      <c r="E4" t="inlineStr">
        <is>
          <t>RANK.EQ</t>
        </is>
      </c>
      <c r="F4" t="inlineStr">
        <is>
          <t>=RANK.EQ(7,$A$2:$A$6)</t>
        </is>
      </c>
      <c r="G4" cm="1">
        <f t="array" ref="G4">_xlfn.RANK.EQ(7,$A$2:$A$6)</f>
        <v>1</v>
      </c>
      <c r="I4" t="inlineStr">
        <is>
          <t>1</t>
        </is>
      </c>
    </row>
    <row r="5">
      <c r="A5">
        <v>1</v>
      </c>
      <c r="B5">
        <v>1</v>
      </c>
      <c r="C5">
        <v>4</v>
      </c>
      <c r="E5" t="inlineStr">
        <is>
          <t>RANK.AVG ties averaged</t>
        </is>
      </c>
      <c r="F5" t="inlineStr">
        <is>
          <t>=RANK.AVG(3.5,$A$2:$A$6)</t>
        </is>
      </c>
      <c r="G5" cm="1">
        <f t="array" ref="G5">_xlfn.RANK.AVG(3.5,$A$2:$A$6)</f>
        <v>2.5</v>
      </c>
      <c r="I5" t="inlineStr">
        <is>
          <t>2.5</t>
        </is>
      </c>
    </row>
    <row r="6">
      <c r="A6">
        <v>2</v>
      </c>
      <c r="B6">
        <v>2</v>
      </c>
      <c r="C6" t="b">
        <v>1</v>
      </c>
      <c r="E6" t="inlineStr">
        <is>
          <t>RANK not found</t>
        </is>
      </c>
      <c r="F6" t="inlineStr">
        <is>
          <t>=RANK(5,$A$2:$A$6)</t>
        </is>
      </c>
      <c r="G6" t="e" cm="1">
        <f t="array" ref="G6">RANK(5,$A$2:$A$6)</f>
        <v>#N/A</v>
      </c>
      <c r="I6" t="inlineStr">
        <is>
          <t>#N/A</t>
        </is>
      </c>
    </row>
    <row r="7">
      <c r="B7" t="inlineStr">
        <is>
          <t>x</t>
        </is>
      </c>
      <c r="C7">
        <v>6</v>
      </c>
      <c r="E7" t="inlineStr">
        <is>
          <t>FREQUENCY first bin (INDEX)</t>
        </is>
      </c>
      <c r="F7" t="inlineStr">
        <is>
          <t>=INDEX(FREQUENCY({79,85,78,85,50,81,95,88,97},{70,79,89}),3)</t>
        </is>
      </c>
      <c r="G7" cm="1">
        <f t="array" ref="G7">INDEX(FREQUENCY({79,85,78,85,50,81,95,88,97},{70,79,89}),3)</f>
        <v>4</v>
      </c>
      <c r="I7" t="inlineStr">
        <is>
          <t>4</t>
        </is>
      </c>
    </row>
    <row r="8">
      <c r="E8" t="inlineStr">
        <is>
          <t>CORREL</t>
        </is>
      </c>
      <c r="F8" t="inlineStr">
        <is>
          <t>=CORREL({3,2,4,5,6},{9,7,12,15,17})</t>
        </is>
      </c>
      <c r="G8" cm="1">
        <f t="array" ref="G8">CORREL({3,2,4,5,6},{9,7,12,15,17})</f>
        <v>0.9970544855015815</v>
      </c>
      <c r="I8" t="inlineStr">
        <is>
          <t>0.997054486</t>
        </is>
      </c>
    </row>
    <row r="9">
      <c r="E9" t="inlineStr">
        <is>
          <t>CORREL mismatched sizes</t>
        </is>
      </c>
      <c r="F9" t="inlineStr">
        <is>
          <t>=CORREL({1,2,3},{1,2})</t>
        </is>
      </c>
      <c r="G9" t="e" cm="1">
        <f t="array" ref="G9">CORREL({1,2,3},{1,2})</f>
        <v>#N/A</v>
      </c>
      <c r="I9" t="inlineStr">
        <is>
          <t>#N/A</t>
        </is>
      </c>
    </row>
    <row r="10">
      <c r="E10" t="inlineStr">
        <is>
          <t>PEARSON</t>
        </is>
      </c>
      <c r="F10" t="inlineStr">
        <is>
          <t>=PEARSON({9,7,5,3,1},{10,6,1,5,3})</t>
        </is>
      </c>
      <c r="G10" cm="1">
        <f t="array" ref="G10">PEARSON({9,7,5,3,1},{10,6,1,5,3})</f>
        <v>0.6993786061802354</v>
      </c>
      <c r="I10" t="inlineStr">
        <is>
          <t>0.699379</t>
        </is>
      </c>
    </row>
    <row r="11">
      <c r="E11" t="inlineStr">
        <is>
          <t>RSQ</t>
        </is>
      </c>
      <c r="F11" t="inlineStr">
        <is>
          <t>=RSQ({2,3,9,1,8,7,5},{6,5,11,7,5,4,4})</t>
        </is>
      </c>
      <c r="G11" cm="1">
        <f t="array" ref="G11">RSQ({2,3,9,1,8,7,5},{6,5,11,7,5,4,4})</f>
        <v>0.05795019157088122</v>
      </c>
      <c r="I11" t="inlineStr">
        <is>
          <t>0.05795</t>
        </is>
      </c>
    </row>
    <row r="12">
      <c r="E12" t="inlineStr">
        <is>
          <t>SLOPE</t>
        </is>
      </c>
      <c r="F12" t="inlineStr">
        <is>
          <t>=SLOPE({2,3,9,1,8,7,5},{6,5,11,7,5,4,4})</t>
        </is>
      </c>
      <c r="G12" cm="1">
        <f t="array" ref="G12">SLOPE({2,3,9,1,8,7,5},{6,5,11,7,5,4,4})</f>
        <v>0.3055555555555556</v>
      </c>
      <c r="I12" t="inlineStr">
        <is>
          <t>0.305556</t>
        </is>
      </c>
    </row>
    <row r="13">
      <c r="E13" t="inlineStr">
        <is>
          <t>INTERCEPT</t>
        </is>
      </c>
      <c r="F13" t="inlineStr">
        <is>
          <t>=INTERCEPT({2,3,9,1,8},{6,5,11,7,5})</t>
        </is>
      </c>
      <c r="G13" cm="1">
        <f t="array" ref="G13">INTERCEPT({2,3,9,1,8},{6,5,11,7,5})</f>
        <v>0.04838709677419217</v>
      </c>
      <c r="I13" t="inlineStr">
        <is>
          <t>0.0483871</t>
        </is>
      </c>
    </row>
    <row r="14">
      <c r="E14" t="inlineStr">
        <is>
          <t>STEYX</t>
        </is>
      </c>
      <c r="F14" t="inlineStr">
        <is>
          <t>=STEYX({2,3,9,1,8,7,5},{6,5,11,7,5,4,4})</t>
        </is>
      </c>
      <c r="G14" cm="1">
        <f t="array" ref="G14">STEYX({2,3,9,1,8,7,5},{6,5,11,7,5,4,4})</f>
        <v>3.305718950210041</v>
      </c>
      <c r="I14" t="inlineStr">
        <is>
          <t>3.305719</t>
        </is>
      </c>
    </row>
    <row r="15">
      <c r="E15" t="inlineStr">
        <is>
          <t>SLOPE skips text/logical pairs (B2:C7)</t>
        </is>
      </c>
      <c r="F15" t="inlineStr">
        <is>
          <t>=SLOPE(B2:B7,C2:C7)</t>
        </is>
      </c>
      <c r="G15" cm="1">
        <f t="array" ref="G15">SLOPE(B2:B7,C2:C7)</f>
        <v>-1.8928571428571428</v>
      </c>
      <c r="I15" t="inlineStr">
        <is>
          <t>-1.892857143</t>
        </is>
      </c>
    </row>
    <row r="16">
      <c r="E16" t="inlineStr">
        <is>
          <t>FORECAST</t>
        </is>
      </c>
      <c r="F16" t="inlineStr">
        <is>
          <t>=FORECAST(30,{6,7,9,15,21},{20,28,31,38,40})</t>
        </is>
      </c>
      <c r="G16" cm="1">
        <f t="array" ref="G16">FORECAST(30,{6,7,9,15,21},{20,28,31,38,40})</f>
        <v>10.607253086419755</v>
      </c>
      <c r="I16" t="inlineStr">
        <is>
          <t>10.607253</t>
        </is>
      </c>
    </row>
    <row r="17">
      <c r="E17" t="inlineStr">
        <is>
          <t>FORECAST.LINEAR</t>
        </is>
      </c>
      <c r="F17" t="inlineStr">
        <is>
          <t>=FORECAST.LINEAR(30,{6,7,9,15,21},{20,28,31,38,40})</t>
        </is>
      </c>
      <c r="G17" cm="1">
        <f t="array" ref="G17">_xlfn.FORECAST.LINEAR(30,{6,7,9,15,21},{20,28,31,38,40})</f>
        <v>10.607253086419755</v>
      </c>
      <c r="I17" t="inlineStr">
        <is>
          <t>10.607253</t>
        </is>
      </c>
    </row>
    <row r="18">
      <c r="E18" t="inlineStr">
        <is>
          <t>TREND (INDEX of 5 predictions)</t>
        </is>
      </c>
      <c r="F18" t="inlineStr">
        <is>
          <t>=INDEX(TREND({133890,135000,135790,137300,138130,139100,139900,141120,141890,143230,144000,145290},{1,2,3,4,5,6,7,8,9,10,11,12},{13,14,15,16,17}),1)</t>
        </is>
      </c>
      <c r="G18" cm="1">
        <f t="array" ref="G18">INDEX(TREND({133890,135000,135790,137300,138130,139100,139900,141120,141890,143230,144000,145290},{1,2,3,4,5,6,7,8,9,10,11,12},{13,14,15,16,17}),1)</f>
        <v>146171.51515151517</v>
      </c>
      <c r="I18" t="inlineStr">
        <is>
          <t>146171.5152</t>
        </is>
      </c>
    </row>
    <row r="19">
      <c r="E19" t="inlineStr">
        <is>
          <t>GROWTH prediction</t>
        </is>
      </c>
      <c r="F19" t="inlineStr">
        <is>
          <t>=INDEX(GROWTH({33100,47300,69000,102000,150000,220000},{11,12,13,14,15,16},{17,18}),2)</t>
        </is>
      </c>
      <c r="G19" cm="1">
        <f t="array" ref="G19">INDEX(GROWTH({33100,47300,69000,102000,150000,220000},{11,12,13,14,15,16},{17,18}),2)</f>
        <v>468536.054184048</v>
      </c>
      <c r="I19" t="inlineStr">
        <is>
          <t>468536.0542</t>
        </is>
      </c>
    </row>
    <row r="20">
      <c r="E20" t="inlineStr">
        <is>
          <t>LINEST slope</t>
        </is>
      </c>
      <c r="F20" t="inlineStr">
        <is>
          <t>=INDEX(LINEST({1,9,5,7},{0,4,2,3}),1)</t>
        </is>
      </c>
      <c r="G20" cm="1">
        <f t="array" ref="G20">INDEX(LINEST({1,9,5,7},{0,4,2,3}),1)</f>
        <v>2</v>
      </c>
      <c r="I20" t="inlineStr">
        <is>
          <t>2</t>
        </is>
      </c>
    </row>
    <row r="21">
      <c r="E21" t="inlineStr">
        <is>
          <t>LINEST F statistic (multiple regression)</t>
        </is>
      </c>
      <c r="F21" t="inlineStr">
        <is>
          <t>=INDEX(LINEST(Arrays!E2:E12,Arrays!A2:D12,TRUE,TRUE),4,1)</t>
        </is>
      </c>
      <c r="G21" cm="1">
        <f t="array" ref="G21">INDEX(LINEST(Arrays!E2:E12,Arrays!A2:D12,TRUE,TRUE),4,1)</f>
        <v>459.75367422539085</v>
      </c>
      <c r="I21" t="inlineStr">
        <is>
          <t>459.7536742</t>
        </is>
      </c>
    </row>
    <row r="22">
      <c r="E22" t="inlineStr">
        <is>
          <t>LOGEST m</t>
        </is>
      </c>
      <c r="F22" t="inlineStr">
        <is>
          <t>=INDEX(LOGEST({33100,47300,69000,102000,150000,220000},{11,12,13,14,15,16}),1)</t>
        </is>
      </c>
      <c r="G22" cm="1">
        <f t="array" ref="G22">INDEX(LOGEST({33100,47300,69000,102000,150000,220000},{11,12,13,14,15,16}),1)</f>
        <v>1.4632756281161756</v>
      </c>
      <c r="I22" t="inlineStr">
        <is>
          <t>1.463275628</t>
        </is>
      </c>
    </row>
    <row r="23">
      <c r="E23" t="inlineStr">
        <is>
          <t>GEOMEAN</t>
        </is>
      </c>
      <c r="F23" t="inlineStr">
        <is>
          <t>=GEOMEAN(4,5,8,7,11,4,3)</t>
        </is>
      </c>
      <c r="G23" cm="1">
        <f t="array" ref="G23">GEOMEAN(4,5,8,7,11,4,3)</f>
        <v>5.476986969656962</v>
      </c>
      <c r="I23" t="inlineStr">
        <is>
          <t>5.476986969</t>
        </is>
      </c>
    </row>
    <row r="24">
      <c r="E24" t="inlineStr">
        <is>
          <t>HARMEAN</t>
        </is>
      </c>
      <c r="F24" t="inlineStr">
        <is>
          <t>=HARMEAN(4,5,8,7,11,4,3)</t>
        </is>
      </c>
      <c r="G24" cm="1">
        <f t="array" ref="G24">HARMEAN(4,5,8,7,11,4,3)</f>
        <v>5.028375962061728</v>
      </c>
      <c r="I24" t="inlineStr">
        <is>
          <t>5.028375962</t>
        </is>
      </c>
    </row>
    <row r="25">
      <c r="E25" t="inlineStr">
        <is>
          <t>AVEDEV</t>
        </is>
      </c>
      <c r="F25" t="inlineStr">
        <is>
          <t>=AVEDEV(4,5,6,7,5,4,3)</t>
        </is>
      </c>
      <c r="G25" cm="1">
        <f t="array" ref="G25">AVEDEV(4,5,6,7,5,4,3)</f>
        <v>1.0204081632653061</v>
      </c>
      <c r="I25" t="inlineStr">
        <is>
          <t>1.020408163</t>
        </is>
      </c>
    </row>
    <row r="26">
      <c r="E26" t="inlineStr">
        <is>
          <t>DEVSQ</t>
        </is>
      </c>
      <c r="F26" t="inlineStr">
        <is>
          <t>=DEVSQ(4,5,8,7,11,4,3)</t>
        </is>
      </c>
      <c r="G26" cm="1">
        <f t="array" ref="G26">DEVSQ(4,5,8,7,11,4,3)</f>
        <v>48</v>
      </c>
      <c r="I26" t="inlineStr">
        <is>
          <t>48</t>
        </is>
      </c>
    </row>
    <row r="27">
      <c r="E27" t="inlineStr">
        <is>
          <t>KURT</t>
        </is>
      </c>
      <c r="F27" t="inlineStr">
        <is>
          <t>=KURT(3,4,5,2,3,4,5,6,4,7)</t>
        </is>
      </c>
      <c r="G27" cm="1">
        <f t="array" ref="G27">KURT(3,4,5,2,3,4,5,6,4,7)</f>
        <v>-0.15179963720841627</v>
      </c>
      <c r="I27" t="inlineStr">
        <is>
          <t>-0.151799637</t>
        </is>
      </c>
    </row>
    <row r="28">
      <c r="E28" t="inlineStr">
        <is>
          <t>SKEW</t>
        </is>
      </c>
      <c r="F28" t="inlineStr">
        <is>
          <t>=SKEW(3,4,5,2,3,4,5,6,4,7)</t>
        </is>
      </c>
      <c r="G28" cm="1">
        <f t="array" ref="G28">SKEW(3,4,5,2,3,4,5,6,4,7)</f>
        <v>0.3595430714067974</v>
      </c>
      <c r="I28" t="inlineStr">
        <is>
          <t>0.359543</t>
        </is>
      </c>
    </row>
    <row r="29">
      <c r="E29" t="inlineStr">
        <is>
          <t>SKEW.P</t>
        </is>
      </c>
      <c r="F29" t="inlineStr">
        <is>
          <t>=SKEW.P(3,4,5,2,3,4,5,6,4,7)</t>
        </is>
      </c>
      <c r="G29" cm="1">
        <f t="array" ref="G29">_xlfn.SKEW.P(3,4,5,2,3,4,5,6,4,7)</f>
        <v>0.3031933393541438</v>
      </c>
      <c r="I29" t="inlineStr">
        <is>
          <t>0.303193</t>
        </is>
      </c>
    </row>
    <row r="30">
      <c r="E30" t="inlineStr">
        <is>
          <t>TRIMMEAN 20%</t>
        </is>
      </c>
      <c r="F30" t="inlineStr">
        <is>
          <t>=TRIMMEAN({4,5,6,7,2,3,4,5,1,2,3},0.2)</t>
        </is>
      </c>
      <c r="G30" cm="1">
        <f t="array" ref="G30">TRIMMEAN({4,5,6,7,2,3,4,5,1,2,3},0.2)</f>
        <v>3.7777777777777777</v>
      </c>
      <c r="I30" t="inlineStr">
        <is>
          <t>3.777777778</t>
        </is>
      </c>
    </row>
    <row r="31">
      <c r="E31" t="inlineStr">
        <is>
          <t>STANDARDIZE</t>
        </is>
      </c>
      <c r="F31" t="inlineStr">
        <is>
          <t>=STANDARDIZE(42,40,1.5)</t>
        </is>
      </c>
      <c r="G31" cm="1">
        <f t="array" ref="G31">STANDARDIZE(42,40,1.5)</f>
        <v>1.3333333333333333</v>
      </c>
      <c r="I31" t="inlineStr">
        <is>
          <t>1.333333333</t>
        </is>
      </c>
    </row>
    <row r="32">
      <c r="E32" t="inlineStr">
        <is>
          <t>PERCENTRANK</t>
        </is>
      </c>
      <c r="F32" t="inlineStr">
        <is>
          <t>=PERCENTRANK({13,12,11,8,4,3,2,1,1,1},2)</t>
        </is>
      </c>
      <c r="G32" cm="1">
        <f t="array" ref="G32">PERCENTRANK({13,12,11,8,4,3,2,1,1,1},2)</f>
        <v>0.333</v>
      </c>
      <c r="I32" t="inlineStr">
        <is>
          <t>0.333</t>
        </is>
      </c>
    </row>
    <row r="33">
      <c r="E33" t="inlineStr">
        <is>
          <t>PERCENTRANK.INC interpolated</t>
        </is>
      </c>
      <c r="F33" t="inlineStr">
        <is>
          <t>=PERCENTRANK.INC({13,12,11,8,4,3,2,1,1,1},5)</t>
        </is>
      </c>
      <c r="G33" cm="1">
        <f t="array" ref="G33">_xlfn.PERCENTRANK.INC({13,12,11,8,4,3,2,1,1,1},5)</f>
        <v>0.583</v>
      </c>
      <c r="I33" t="inlineStr">
        <is>
          <t>0.583</t>
        </is>
      </c>
    </row>
    <row r="34">
      <c r="E34" t="inlineStr">
        <is>
          <t>PERCENTRANK.EXC</t>
        </is>
      </c>
      <c r="F34" t="inlineStr">
        <is>
          <t>=PERCENTRANK.EXC({1,2,3,6,6,6,7,8,9},5.43)</t>
        </is>
      </c>
      <c r="G34" cm="1">
        <f t="array" ref="G34">_xlfn.PERCENTRANK.EXC({1,2,3,6,6,6,7,8,9},5.43)</f>
        <v>0.381</v>
      </c>
      <c r="I34" t="inlineStr">
        <is>
          <t>0.381</t>
        </is>
      </c>
    </row>
    <row r="35">
      <c r="E35" t="inlineStr">
        <is>
          <t>PERCENTRANK.EXC 1 digit</t>
        </is>
      </c>
      <c r="F35" t="inlineStr">
        <is>
          <t>=PERCENTRANK.EXC({1,2,3,6,6,6,7,8,9},5.43,1)</t>
        </is>
      </c>
      <c r="G35" cm="1">
        <f t="array" ref="G35">_xlfn.PERCENTRANK.EXC({1,2,3,6,6,6,7,8,9},5.43,1)</f>
        <v>0.3</v>
      </c>
      <c r="I35" t="inlineStr">
        <is>
          <t>0.3</t>
        </is>
      </c>
    </row>
    <row r="36">
      <c r="E36" t="inlineStr">
        <is>
          <t>COVARIANCE.P</t>
        </is>
      </c>
      <c r="F36" t="inlineStr">
        <is>
          <t>=COVARIANCE.P({3,2,4,5,6},{9,7,12,15,17})</t>
        </is>
      </c>
      <c r="G36" cm="1">
        <f t="array" ref="G36">_xlfn.COVARIANCE.P({3,2,4,5,6},{9,7,12,15,17})</f>
        <v>5.2</v>
      </c>
      <c r="I36" t="inlineStr">
        <is>
          <t>5.2</t>
        </is>
      </c>
    </row>
    <row r="37">
      <c r="E37" t="inlineStr">
        <is>
          <t>COVARIANCE.S</t>
        </is>
      </c>
      <c r="F37" t="inlineStr">
        <is>
          <t>=COVARIANCE.S({2,4,8},{5,11,12})</t>
        </is>
      </c>
      <c r="G37" cm="1">
        <f t="array" ref="G37">_xlfn.COVARIANCE.S({2,4,8},{5,11,12})</f>
        <v>9.666666666666668</v>
      </c>
      <c r="I37" t="inlineStr">
        <is>
          <t>9.666666667</t>
        </is>
      </c>
    </row>
    <row r="38">
      <c r="E38" t="inlineStr">
        <is>
          <t>COVAR</t>
        </is>
      </c>
      <c r="F38" t="inlineStr">
        <is>
          <t>=COVAR({3,2,4,5,6},{9,7,12,15,17})</t>
        </is>
      </c>
      <c r="G38" cm="1">
        <f t="array" ref="G38">COVAR({3,2,4,5,6},{9,7,12,15,17})</f>
        <v>5.2</v>
      </c>
      <c r="I38" t="inlineStr">
        <is>
          <t>5.2</t>
        </is>
      </c>
    </row>
    <row r="39">
      <c r="E39" t="inlineStr">
        <is>
          <t>NORM.DIST cumulative</t>
        </is>
      </c>
      <c r="F39" t="inlineStr">
        <is>
          <t>=NORM.DIST(42,40,1.5,TRUE)</t>
        </is>
      </c>
      <c r="G39" cm="1">
        <f t="array" ref="G39">_xlfn.NORM.DIST(42,40,1.5,TRUE)</f>
        <v>0.9087887802741321</v>
      </c>
      <c r="I39" t="inlineStr">
        <is>
          <t>0.908788780274132</t>
        </is>
      </c>
    </row>
    <row r="40">
      <c r="E40" t="inlineStr">
        <is>
          <t>NORM.DIST density</t>
        </is>
      </c>
      <c r="F40" t="inlineStr">
        <is>
          <t>=NORM.DIST(42,40,1.5,FALSE)</t>
        </is>
      </c>
      <c r="G40" cm="1">
        <f t="array" ref="G40">_xlfn.NORM.DIST(42,40,1.5,FALSE)</f>
        <v>0.10934004978399577</v>
      </c>
      <c r="I40" t="inlineStr">
        <is>
          <t>0.109340049783996</t>
        </is>
      </c>
    </row>
    <row r="41">
      <c r="E41" t="inlineStr">
        <is>
          <t>NORM.INV</t>
        </is>
      </c>
      <c r="F41" t="inlineStr">
        <is>
          <t>=NORM.INV(0.908789,40,1.5)</t>
        </is>
      </c>
      <c r="G41" cm="1">
        <f t="array" ref="G41">_xlfn.NORM.INV(0.908789,40,1.5)</f>
        <v>42.00000200956616</v>
      </c>
      <c r="I41" t="inlineStr">
        <is>
          <t>42.0000020095662</t>
        </is>
      </c>
    </row>
    <row r="42">
      <c r="E42" t="inlineStr">
        <is>
          <t>NORM.S.DIST</t>
        </is>
      </c>
      <c r="F42" t="inlineStr">
        <is>
          <t>=NORM.S.DIST(1.333333,TRUE)</t>
        </is>
      </c>
      <c r="G42" cm="1">
        <f t="array" ref="G42">_xlfn.NORM.S.DIST(1.333333,TRUE)</f>
        <v>0.9087887256040951</v>
      </c>
      <c r="I42" t="inlineStr">
        <is>
          <t>0.908788725604095</t>
        </is>
      </c>
    </row>
    <row r="43">
      <c r="E43" t="inlineStr">
        <is>
          <t>NORM.S.INV</t>
        </is>
      </c>
      <c r="F43" t="inlineStr">
        <is>
          <t>=NORM.S.INV(0.908789)</t>
        </is>
      </c>
      <c r="G43" cm="1">
        <f t="array" ref="G43">_xlfn.NORM.S.INV(0.908789)</f>
        <v>1.3333346730441071</v>
      </c>
      <c r="I43" t="inlineStr">
        <is>
          <t>1.33333467304411</t>
        </is>
      </c>
    </row>
    <row r="44">
      <c r="E44" t="inlineStr">
        <is>
          <t>NORM.S.INV far tail</t>
        </is>
      </c>
      <c r="F44" t="inlineStr">
        <is>
          <t>=NORM.S.INV(1E-300)</t>
        </is>
      </c>
      <c r="G44" cm="1">
        <f t="array" ref="G44">_xlfn.NORM.S.INV(1E-300)</f>
        <v>-37.0470962993612</v>
      </c>
      <c r="I44" t="inlineStr">
        <is>
          <t>-37.0471049943201</t>
        </is>
      </c>
    </row>
    <row r="45">
      <c r="E45" t="inlineStr">
        <is>
          <t>NORMDIST</t>
        </is>
      </c>
      <c r="F45" t="inlineStr">
        <is>
          <t>=NORMDIST(42,40,1.5,TRUE)</t>
        </is>
      </c>
      <c r="G45" cm="1">
        <f t="array" ref="G45">NORMDIST(42,40,1.5,TRUE)</f>
        <v>0.9087887802741321</v>
      </c>
      <c r="I45" t="inlineStr">
        <is>
          <t>0.908788780274132</t>
        </is>
      </c>
    </row>
    <row r="46">
      <c r="E46" t="inlineStr">
        <is>
          <t>NORMINV</t>
        </is>
      </c>
      <c r="F46" t="inlineStr">
        <is>
          <t>=NORMINV(0.908789,40,1.5)</t>
        </is>
      </c>
      <c r="G46" cm="1">
        <f t="array" ref="G46">NORMINV(0.908789,40,1.5)</f>
        <v>42.00000200956616</v>
      </c>
      <c r="I46" t="inlineStr">
        <is>
          <t>42.0000020095662</t>
        </is>
      </c>
    </row>
    <row r="47">
      <c r="E47" t="inlineStr">
        <is>
          <t>NORMSDIST</t>
        </is>
      </c>
      <c r="F47" t="inlineStr">
        <is>
          <t>=NORMSDIST(-8)</t>
        </is>
      </c>
      <c r="G47" cm="1">
        <f t="array" ref="G47">NORMSDIST(-8)</f>
        <v>6.220960574271819e-16</v>
      </c>
      <c r="I47" t="inlineStr">
        <is>
          <t>6.22096057427178E-16</t>
        </is>
      </c>
    </row>
    <row r="48">
      <c r="E48" t="inlineStr">
        <is>
          <t>NORMSINV</t>
        </is>
      </c>
      <c r="F48" t="inlineStr">
        <is>
          <t>=NORMSINV(0.975)</t>
        </is>
      </c>
      <c r="G48" cm="1">
        <f t="array" ref="G48">NORMSINV(0.975)</f>
        <v>1.9599639845400536</v>
      </c>
      <c r="I48" t="inlineStr">
        <is>
          <t>1.95996398454005</t>
        </is>
      </c>
    </row>
    <row r="49">
      <c r="E49" t="inlineStr">
        <is>
          <t>PHI</t>
        </is>
      </c>
      <c r="F49" t="inlineStr">
        <is>
          <t>=PHI(0.75)</t>
        </is>
      </c>
      <c r="G49" cm="1">
        <f t="array" ref="G49">_xlfn.PHI(0.75)</f>
        <v>0.30113743215480443</v>
      </c>
      <c r="I49" t="inlineStr">
        <is>
          <t>0.301137432</t>
        </is>
      </c>
    </row>
    <row r="50">
      <c r="E50" t="inlineStr">
        <is>
          <t>GAUSS</t>
        </is>
      </c>
      <c r="F50" t="inlineStr">
        <is>
          <t>=GAUSS(2)</t>
        </is>
      </c>
      <c r="G50" cm="1">
        <f t="array" ref="G50">_xlfn.GAUSS(2)</f>
        <v>0.4772498680518208</v>
      </c>
      <c r="I50" t="inlineStr">
        <is>
          <t>0.477249868</t>
        </is>
      </c>
    </row>
    <row r="51">
      <c r="E51" t="inlineStr">
        <is>
          <t>T.DIST cumulative</t>
        </is>
      </c>
      <c r="F51" t="inlineStr">
        <is>
          <t>=T.DIST(60,1,TRUE)</t>
        </is>
      </c>
      <c r="G51" cm="1">
        <f t="array" ref="G51">_xlfn.T.DIST(60,1,TRUE)</f>
        <v>0.9946953263673767</v>
      </c>
      <c r="I51" t="inlineStr">
        <is>
          <t>0.994695326367866</t>
        </is>
      </c>
    </row>
    <row r="52">
      <c r="E52" t="inlineStr">
        <is>
          <t>T.DIST density</t>
        </is>
      </c>
      <c r="F52" t="inlineStr">
        <is>
          <t>=T.DIST(8,3,FALSE)</t>
        </is>
      </c>
      <c r="G52" cm="1">
        <f t="array" ref="G52">_xlfn.T.DIST(8,3,FALSE)</f>
        <v>0.0007369065209469265</v>
      </c>
      <c r="I52" t="inlineStr">
        <is>
          <t>0.000736906</t>
        </is>
      </c>
    </row>
    <row r="53">
      <c r="E53" t="inlineStr">
        <is>
          <t>T.DIST.2T</t>
        </is>
      </c>
      <c r="F53" t="inlineStr">
        <is>
          <t>=T.DIST.2T(1.959999998,60)</t>
        </is>
      </c>
      <c r="G53" cm="1">
        <f t="array" ref="G53">_xlfn.T.DIST.2T(1.959999998,60)</f>
        <v>0.05464492997592074</v>
      </c>
      <c r="I53" t="inlineStr">
        <is>
          <t>0.054644930</t>
        </is>
      </c>
    </row>
    <row r="54">
      <c r="E54" t="inlineStr">
        <is>
          <t>T.DIST.RT</t>
        </is>
      </c>
      <c r="F54" t="inlineStr">
        <is>
          <t>=T.DIST.RT(1.959999998,60)</t>
        </is>
      </c>
      <c r="G54" cm="1">
        <f t="array" ref="G54">_xlfn.T.DIST.RT(1.959999998,60)</f>
        <v>0.02732246498796037</v>
      </c>
      <c r="I54" t="inlineStr">
        <is>
          <t>0.027322465</t>
        </is>
      </c>
    </row>
    <row r="55">
      <c r="E55" t="inlineStr">
        <is>
          <t>T.INV</t>
        </is>
      </c>
      <c r="F55" t="inlineStr">
        <is>
          <t>=T.INV(0.75,2)</t>
        </is>
      </c>
      <c r="G55" cm="1">
        <f t="array" ref="G55">_xlfn.T.INV(0.75,2)</f>
        <v>0.8164965809277261</v>
      </c>
      <c r="I55" t="inlineStr">
        <is>
          <t>0.816496581</t>
        </is>
      </c>
    </row>
    <row r="56">
      <c r="E56" t="inlineStr">
        <is>
          <t>T.INV.2T</t>
        </is>
      </c>
      <c r="F56" t="inlineStr">
        <is>
          <t>=T.INV.2T(0.546449,60)</t>
        </is>
      </c>
      <c r="G56" cm="1">
        <f t="array" ref="G56">_xlfn.T.INV.2T(0.546449,60)</f>
        <v>0.6065330758257578</v>
      </c>
      <c r="I56" t="inlineStr">
        <is>
          <t>0.606533</t>
        </is>
      </c>
    </row>
    <row r="57">
      <c r="E57" t="inlineStr">
        <is>
          <t>TDIST two tails</t>
        </is>
      </c>
      <c r="F57" t="inlineStr">
        <is>
          <t>=TDIST(1.959999998,60,2)</t>
        </is>
      </c>
      <c r="G57" cm="1">
        <f t="array" ref="G57">TDIST(1.959999998,60,2)</f>
        <v>0.05464492997592074</v>
      </c>
      <c r="I57" t="inlineStr">
        <is>
          <t>0.054644930</t>
        </is>
      </c>
    </row>
    <row r="58">
      <c r="E58" t="inlineStr">
        <is>
          <t>TINV</t>
        </is>
      </c>
      <c r="F58" t="inlineStr">
        <is>
          <t>=TINV(0.05,10)</t>
        </is>
      </c>
      <c r="G58" cm="1">
        <f t="array" ref="G58">TINV(0.05,10)</f>
        <v>2.228138851986272</v>
      </c>
      <c r="I58" t="inlineStr">
        <is>
          <t>2.228138852</t>
        </is>
      </c>
    </row>
    <row r="59">
      <c r="E59" t="inlineStr">
        <is>
          <t>T.TEST paired</t>
        </is>
      </c>
      <c r="F59" t="inlineStr">
        <is>
          <t>=T.TEST({3,4,5,8,9,1,2,4,5},{6,19,3,2,14,4,5,17,1},2,1)</t>
        </is>
      </c>
      <c r="G59" cm="1">
        <f t="array" ref="G59">_xlfn.T.TEST({3,4,5,8,9,1,2,4,5},{6,19,3,2,14,4,5,17,1},2,1)</f>
        <v>0.19601578492528127</v>
      </c>
      <c r="I59" t="inlineStr">
        <is>
          <t>0.196016</t>
        </is>
      </c>
    </row>
    <row r="60">
      <c r="E60" t="inlineStr">
        <is>
          <t>T.TEST unequal variance, 1 tail</t>
        </is>
      </c>
      <c r="F60" t="inlineStr">
        <is>
          <t>=T.TEST({3,4,5,8,9,1,2,4,5},{6,19,3,2,14,4,5,17,1},1,3)</t>
        </is>
      </c>
      <c r="G60" cm="1">
        <f t="array" ref="G60">_xlfn.T.TEST({3,4,5,8,9,1,2,4,5},{6,19,3,2,14,4,5,17,1},1,3)</f>
        <v>0.10114696168433879</v>
      </c>
      <c r="I60" t="inlineStr">
        <is>
          <t>0.101146962</t>
        </is>
      </c>
    </row>
    <row r="61">
      <c r="E61" t="inlineStr">
        <is>
          <t>TTEST equal variance</t>
        </is>
      </c>
      <c r="F61" t="inlineStr">
        <is>
          <t>=TTEST({3,4,5,8,9,1,2,4,5},{6,19,3,2,14,4,5,17,1},2,2)</t>
        </is>
      </c>
      <c r="G61" cm="1">
        <f t="array" ref="G61">TTEST({3,4,5,8,9,1,2,4,5},{6,19,3,2,14,4,5,17,1},2,2)</f>
        <v>0.19199588676039547</v>
      </c>
      <c r="I61" t="inlineStr">
        <is>
          <t>0.191995887</t>
        </is>
      </c>
    </row>
    <row r="62">
      <c r="E62" t="inlineStr">
        <is>
          <t>CHISQ.DIST cumulative</t>
        </is>
      </c>
      <c r="F62" t="inlineStr">
        <is>
          <t>=CHISQ.DIST(0.5,1,TRUE)</t>
        </is>
      </c>
      <c r="G62" cm="1">
        <f t="array" ref="G62">_xlfn.CHISQ.DIST(0.5,1,TRUE)</f>
        <v>0.5204998778130466</v>
      </c>
      <c r="I62" t="inlineStr">
        <is>
          <t>0.52049988</t>
        </is>
      </c>
    </row>
    <row r="63">
      <c r="E63" t="inlineStr">
        <is>
          <t>CHISQ.DIST density</t>
        </is>
      </c>
      <c r="F63" t="inlineStr">
        <is>
          <t>=CHISQ.DIST(2,3,FALSE)</t>
        </is>
      </c>
      <c r="G63" cm="1">
        <f t="array" ref="G63">_xlfn.CHISQ.DIST(2,3,FALSE)</f>
        <v>0.2075537487102974</v>
      </c>
      <c r="I63" t="inlineStr">
        <is>
          <t>0.20755375</t>
        </is>
      </c>
    </row>
    <row r="64">
      <c r="E64" t="inlineStr">
        <is>
          <t>CHISQ.DIST.RT</t>
        </is>
      </c>
      <c r="F64" t="inlineStr">
        <is>
          <t>=CHISQ.DIST.RT(18.307,10)</t>
        </is>
      </c>
      <c r="G64" cm="1">
        <f t="array" ref="G64">_xlfn.CHISQ.DIST.RT(18.307,10)</f>
        <v>0.05000058909139813</v>
      </c>
      <c r="I64" t="inlineStr">
        <is>
          <t>0.0500006</t>
        </is>
      </c>
    </row>
    <row r="65">
      <c r="E65" t="inlineStr">
        <is>
          <t>CHISQ.INV</t>
        </is>
      </c>
      <c r="F65" t="inlineStr">
        <is>
          <t>=CHISQ.INV(0.93,1)</t>
        </is>
      </c>
      <c r="G65" cm="1">
        <f t="array" ref="G65">_xlfn.CHISQ.INV(0.93,1)</f>
        <v>3.2830202867595335</v>
      </c>
      <c r="I65" t="inlineStr">
        <is>
          <t>3.283020287</t>
        </is>
      </c>
    </row>
    <row r="66">
      <c r="E66" t="inlineStr">
        <is>
          <t>CHISQ.INV.RT</t>
        </is>
      </c>
      <c r="F66" t="inlineStr">
        <is>
          <t>=CHISQ.INV.RT(0.050001,10)</t>
        </is>
      </c>
      <c r="G66" cm="1">
        <f t="array" ref="G66">_xlfn.CHISQ.INV.RT(0.050001,10)</f>
        <v>18.30697345696106</v>
      </c>
      <c r="I66" t="inlineStr">
        <is>
          <t>18.30697346</t>
        </is>
      </c>
    </row>
    <row r="67">
      <c r="E67" t="inlineStr">
        <is>
          <t>CHISQ.TEST</t>
        </is>
      </c>
      <c r="F67" t="inlineStr">
        <is>
          <t>=CHISQ.TEST({58,35;11,25;10,23},{45.35,47.65;17.56,18.44;16.09,16.91})</t>
        </is>
      </c>
      <c r="G67" cm="1">
        <f t="array" ref="G67">_xlfn.CHISQ.TEST({58,35;11,25;10,23},{45.35,47.65;17.56,18.44;16.09,16.91})</f>
        <v>0.0003081920170083095</v>
      </c>
      <c r="I67" t="inlineStr">
        <is>
          <t>0.0003082</t>
        </is>
      </c>
    </row>
    <row r="68">
      <c r="E68" t="inlineStr">
        <is>
          <t>CHIDIST</t>
        </is>
      </c>
      <c r="F68" t="inlineStr">
        <is>
          <t>=CHIDIST(18.307,10)</t>
        </is>
      </c>
      <c r="G68" cm="1">
        <f t="array" ref="G68">CHIDIST(18.307,10)</f>
        <v>0.05000058909139813</v>
      </c>
      <c r="I68" t="inlineStr">
        <is>
          <t>0.0500006</t>
        </is>
      </c>
    </row>
    <row r="69">
      <c r="E69" t="inlineStr">
        <is>
          <t>CHIINV</t>
        </is>
      </c>
      <c r="F69" t="inlineStr">
        <is>
          <t>=CHIINV(0.050001,10)</t>
        </is>
      </c>
      <c r="G69" cm="1">
        <f t="array" ref="G69">CHIINV(0.050001,10)</f>
        <v>18.30697345696106</v>
      </c>
      <c r="I69" t="inlineStr">
        <is>
          <t>18.30697346</t>
        </is>
      </c>
    </row>
    <row r="70">
      <c r="E70" t="inlineStr">
        <is>
          <t>CHITEST</t>
        </is>
      </c>
      <c r="F70" t="inlineStr">
        <is>
          <t>=CHITEST({58,35;11,25;10,23},{45.35,47.65;17.56,18.44;16.09,16.91})</t>
        </is>
      </c>
      <c r="G70" cm="1">
        <f t="array" ref="G70">CHITEST({58,35;11,25;10,23},{45.35,47.65;17.56,18.44;16.09,16.91})</f>
        <v>0.0003081920170083095</v>
      </c>
      <c r="I70" t="inlineStr">
        <is>
          <t>0.0003082</t>
        </is>
      </c>
    </row>
    <row r="71">
      <c r="E71" t="inlineStr">
        <is>
          <t>F.DIST cumulative</t>
        </is>
      </c>
      <c r="F71" t="inlineStr">
        <is>
          <t>=F.DIST(15.2069,6,4,TRUE)</t>
        </is>
      </c>
      <c r="G71" cm="1">
        <f t="array" ref="G71">_xlfn.F.DIST(15.2069,6,4,TRUE)</f>
        <v>0.9900000430027627</v>
      </c>
      <c r="I71" t="inlineStr">
        <is>
          <t>0.99</t>
        </is>
      </c>
    </row>
    <row r="72">
      <c r="E72" t="inlineStr">
        <is>
          <t>F.DIST density</t>
        </is>
      </c>
      <c r="F72" t="inlineStr">
        <is>
          <t>=F.DIST(15.2069,6,4,FALSE)</t>
        </is>
      </c>
      <c r="G72" cm="1">
        <f t="array" ref="G72">_xlfn.F.DIST(15.2069,6,4,FALSE)</f>
        <v>0.0012237917087831779</v>
      </c>
      <c r="I72" t="inlineStr">
        <is>
          <t>0.0012238</t>
        </is>
      </c>
    </row>
    <row r="73">
      <c r="E73" t="inlineStr">
        <is>
          <t>F.DIST.RT</t>
        </is>
      </c>
      <c r="F73" t="inlineStr">
        <is>
          <t>=F.DIST.RT(15.2069,6,4)</t>
        </is>
      </c>
      <c r="G73" cm="1">
        <f t="array" ref="G73">_xlfn.F.DIST.RT(15.2069,6,4)</f>
        <v>0.009999956997237316</v>
      </c>
      <c r="I73" t="inlineStr">
        <is>
          <t>0.01</t>
        </is>
      </c>
    </row>
    <row r="74">
      <c r="E74" t="inlineStr">
        <is>
          <t>F.INV</t>
        </is>
      </c>
      <c r="F74" t="inlineStr">
        <is>
          <t>=F.INV(0.01,6,4)</t>
        </is>
      </c>
      <c r="G74" cm="1">
        <f t="array" ref="G74">_xlfn.F.INV(0.01,6,4)</f>
        <v>0.1093099141245785</v>
      </c>
      <c r="I74" t="inlineStr">
        <is>
          <t>0.10930991</t>
        </is>
      </c>
    </row>
    <row r="75">
      <c r="E75" t="inlineStr">
        <is>
          <t>F.INV.RT</t>
        </is>
      </c>
      <c r="F75" t="inlineStr">
        <is>
          <t>=F.INV.RT(0.01,6,4)</t>
        </is>
      </c>
      <c r="G75" cm="1">
        <f t="array" ref="G75">_xlfn.F.INV.RT(0.01,6,4)</f>
        <v>15.206864861157525</v>
      </c>
      <c r="I75" t="inlineStr">
        <is>
          <t>15.20686</t>
        </is>
      </c>
    </row>
    <row r="76">
      <c r="E76" t="inlineStr">
        <is>
          <t>F.TEST</t>
        </is>
      </c>
      <c r="F76" t="inlineStr">
        <is>
          <t>=F.TEST({6,7,9,15,21},{20,28,31,38,40})</t>
        </is>
      </c>
      <c r="G76" cm="1">
        <f t="array" ref="G76">_xlfn.F.TEST({6,7,9,15,21},{20,28,31,38,40})</f>
        <v>0.648317846786175</v>
      </c>
      <c r="I76" t="inlineStr">
        <is>
          <t>0.64831785</t>
        </is>
      </c>
    </row>
    <row r="77">
      <c r="E77" t="inlineStr">
        <is>
          <t>FDIST</t>
        </is>
      </c>
      <c r="F77" t="inlineStr">
        <is>
          <t>=FDIST(15.2069,6,4)</t>
        </is>
      </c>
      <c r="G77" cm="1">
        <f t="array" ref="G77">FDIST(15.2069,6,4)</f>
        <v>0.009999956997237316</v>
      </c>
      <c r="I77" t="inlineStr">
        <is>
          <t>0.01</t>
        </is>
      </c>
    </row>
    <row r="78">
      <c r="E78" t="inlineStr">
        <is>
          <t>FINV</t>
        </is>
      </c>
      <c r="F78" t="inlineStr">
        <is>
          <t>=FINV(0.01,6,4)</t>
        </is>
      </c>
      <c r="G78" cm="1">
        <f t="array" ref="G78">FINV(0.01,6,4)</f>
        <v>15.206864861157525</v>
      </c>
      <c r="I78" t="inlineStr">
        <is>
          <t>15.20686</t>
        </is>
      </c>
    </row>
    <row r="79">
      <c r="E79" t="inlineStr">
        <is>
          <t>FTEST</t>
        </is>
      </c>
      <c r="F79" t="inlineStr">
        <is>
          <t>=FTEST({6,7,9,15,21},{20,28,31,38,40})</t>
        </is>
      </c>
      <c r="G79" cm="1">
        <f t="array" ref="G79">FTEST({6,7,9,15,21},{20,28,31,38,40})</f>
        <v>0.648317846786175</v>
      </c>
      <c r="I79" t="inlineStr">
        <is>
          <t>0.64831785</t>
        </is>
      </c>
    </row>
    <row r="80">
      <c r="E80" t="inlineStr">
        <is>
          <t>BINOM.DIST</t>
        </is>
      </c>
      <c r="F80" t="inlineStr">
        <is>
          <t>=BINOM.DIST(6,10,0.5,FALSE)</t>
        </is>
      </c>
      <c r="G80" cm="1">
        <f t="array" ref="G80">_xlfn.BINOM.DIST(6,10,0.5,FALSE)</f>
        <v>0.205078125</v>
      </c>
      <c r="I80" t="inlineStr">
        <is>
          <t>0.2050781</t>
        </is>
      </c>
    </row>
    <row r="81">
      <c r="E81" t="inlineStr">
        <is>
          <t>BINOM.DIST cumulative, large n</t>
        </is>
      </c>
      <c r="F81" t="inlineStr">
        <is>
          <t>=BINOM.DIST(4000,10000,0.4,TRUE)</t>
        </is>
      </c>
      <c r="G81" cm="1">
        <f t="array" ref="G81">_xlfn.BINOM.DIST(4000,10000,0.4,TRUE)</f>
        <v>0.5043429963116686</v>
      </c>
      <c r="I81" t="inlineStr">
        <is>
          <t>0.504342996</t>
        </is>
      </c>
    </row>
    <row r="82">
      <c r="E82" t="inlineStr">
        <is>
          <t>BINOM.DIST.RANGE</t>
        </is>
      </c>
      <c r="F82" t="inlineStr">
        <is>
          <t>=BINOM.DIST.RANGE(60,0.75,48)</t>
        </is>
      </c>
      <c r="G82" cm="1">
        <f t="array" ref="G82">_xlfn.BINOM.DIST.RANGE(60,0.75,48)</f>
        <v>0.0839749674290475</v>
      </c>
      <c r="I82" t="inlineStr">
        <is>
          <t>0.083974967</t>
        </is>
      </c>
    </row>
    <row r="83">
      <c r="E83" t="inlineStr">
        <is>
          <t>BINOM.DIST.RANGE s..s2</t>
        </is>
      </c>
      <c r="F83" t="inlineStr">
        <is>
          <t>=BINOM.DIST.RANGE(60,0.75,45,50)</t>
        </is>
      </c>
      <c r="G83" cm="1">
        <f t="array" ref="G83">_xlfn.BINOM.DIST.RANGE(60,0.75,45,50)</f>
        <v>0.5236297934718872</v>
      </c>
      <c r="I83" t="inlineStr">
        <is>
          <t>0.523629793</t>
        </is>
      </c>
    </row>
    <row r="84">
      <c r="E84" t="inlineStr">
        <is>
          <t>BINOM.INV</t>
        </is>
      </c>
      <c r="F84" t="inlineStr">
        <is>
          <t>=BINOM.INV(6,0.5,0.75)</t>
        </is>
      </c>
      <c r="G84" cm="1">
        <f t="array" ref="G84">_xlfn.BINOM.INV(6,0.5,0.75)</f>
        <v>4</v>
      </c>
      <c r="I84" t="inlineStr">
        <is>
          <t>4</t>
        </is>
      </c>
    </row>
    <row r="85">
      <c r="E85" t="inlineStr">
        <is>
          <t>BINOMDIST</t>
        </is>
      </c>
      <c r="F85" t="inlineStr">
        <is>
          <t>=BINOMDIST(6,10,0.5,FALSE)</t>
        </is>
      </c>
      <c r="G85" cm="1">
        <f t="array" ref="G85">BINOMDIST(6,10,0.5,FALSE)</f>
        <v>0.205078125</v>
      </c>
      <c r="I85" t="inlineStr">
        <is>
          <t>0.2050781</t>
        </is>
      </c>
    </row>
    <row r="86">
      <c r="E86" t="inlineStr">
        <is>
          <t>CRITBINOM</t>
        </is>
      </c>
      <c r="F86" t="inlineStr">
        <is>
          <t>=CRITBINOM(6,0.5,0.75)</t>
        </is>
      </c>
      <c r="G86" cm="1">
        <f t="array" ref="G86">CRITBINOM(6,0.5,0.75)</f>
        <v>4</v>
      </c>
      <c r="I86" t="inlineStr">
        <is>
          <t>4</t>
        </is>
      </c>
    </row>
    <row r="87">
      <c r="E87" t="inlineStr">
        <is>
          <t>POISSON.DIST cumulative</t>
        </is>
      </c>
      <c r="F87" t="inlineStr">
        <is>
          <t>=POISSON.DIST(2,5,TRUE)</t>
        </is>
      </c>
      <c r="G87" cm="1">
        <f t="array" ref="G87">_xlfn.POISSON.DIST(2,5,TRUE)</f>
        <v>0.12465201948308108</v>
      </c>
      <c r="I87" t="inlineStr">
        <is>
          <t>0.124652</t>
        </is>
      </c>
    </row>
    <row r="88">
      <c r="E88" t="inlineStr">
        <is>
          <t>POISSON</t>
        </is>
      </c>
      <c r="F88" t="inlineStr">
        <is>
          <t>=POISSON(2,5,FALSE)</t>
        </is>
      </c>
      <c r="G88" cm="1">
        <f t="array" ref="G88">POISSON(2,5,FALSE)</f>
        <v>0.08422433748856831</v>
      </c>
      <c r="I88" t="inlineStr">
        <is>
          <t>0.084224</t>
        </is>
      </c>
    </row>
    <row r="89">
      <c r="E89" t="inlineStr">
        <is>
          <t>EXPON.DIST</t>
        </is>
      </c>
      <c r="F89" t="inlineStr">
        <is>
          <t>=EXPON.DIST(0.2,10,TRUE)</t>
        </is>
      </c>
      <c r="G89" cm="1">
        <f t="array" ref="G89">_xlfn.EXPON.DIST(0.2,10,TRUE)</f>
        <v>0.8646647167633873</v>
      </c>
      <c r="I89" t="inlineStr">
        <is>
          <t>0.86466472</t>
        </is>
      </c>
    </row>
    <row r="90">
      <c r="E90" t="inlineStr">
        <is>
          <t>EXPONDIST</t>
        </is>
      </c>
      <c r="F90" t="inlineStr">
        <is>
          <t>=EXPONDIST(0.2,10,FALSE)</t>
        </is>
      </c>
      <c r="G90" cm="1">
        <f t="array" ref="G90">EXPONDIST(0.2,10,FALSE)</f>
        <v>1.353352832366127</v>
      </c>
      <c r="I90" t="inlineStr">
        <is>
          <t>1.35335283</t>
        </is>
      </c>
    </row>
    <row r="91">
      <c r="E91" t="inlineStr">
        <is>
          <t>GAMMA</t>
        </is>
      </c>
      <c r="F91" t="inlineStr">
        <is>
          <t>=GAMMA(2.5)</t>
        </is>
      </c>
      <c r="G91" cm="1">
        <f t="array" ref="G91">_xlfn.GAMMA(2.5)</f>
        <v>1.329340388179137</v>
      </c>
      <c r="I91" t="inlineStr">
        <is>
          <t>1.329340388</t>
        </is>
      </c>
    </row>
    <row r="92">
      <c r="E92" t="inlineStr">
        <is>
          <t>GAMMA negative</t>
        </is>
      </c>
      <c r="F92" t="inlineStr">
        <is>
          <t>=GAMMA(-3.75)</t>
        </is>
      </c>
      <c r="G92" cm="1">
        <f t="array" ref="G92">_xlfn.GAMMA(-3.75)</f>
        <v>0.26786612886141653</v>
      </c>
      <c r="I92" t="inlineStr">
        <is>
          <t>0.267866129</t>
        </is>
      </c>
    </row>
    <row r="93">
      <c r="E93" t="inlineStr">
        <is>
          <t>GAMMA at 0</t>
        </is>
      </c>
      <c r="F93" t="inlineStr">
        <is>
          <t>=GAMMA(0)</t>
        </is>
      </c>
      <c r="G93" t="e" cm="1">
        <f t="array" ref="G93">_xlfn.GAMMA(0)</f>
        <v>#NUM!</v>
      </c>
      <c r="I93" t="inlineStr">
        <is>
          <t>#NUM!</t>
        </is>
      </c>
    </row>
    <row r="94">
      <c r="E94" t="inlineStr">
        <is>
          <t>GAMMA.DIST density</t>
        </is>
      </c>
      <c r="F94" t="inlineStr">
        <is>
          <t>=GAMMA.DIST(10.00001131,9,2,FALSE)</t>
        </is>
      </c>
      <c r="G94" cm="1">
        <f t="array" ref="G94">_xlfn.GAMMA.DIST(10.00001131,9,2,FALSE)</f>
        <v>0.03263913041829395</v>
      </c>
      <c r="I94" t="inlineStr">
        <is>
          <t>0.032639</t>
        </is>
      </c>
    </row>
    <row r="95">
      <c r="E95" t="inlineStr">
        <is>
          <t>GAMMA.DIST cumulative</t>
        </is>
      </c>
      <c r="F95" t="inlineStr">
        <is>
          <t>=GAMMA.DIST(10.00001131,9,2,TRUE)</t>
        </is>
      </c>
      <c r="G95" cm="1">
        <f t="array" ref="G95">_xlfn.GAMMA.DIST(10.00001131,9,2,TRUE)</f>
        <v>0.06809400386978719</v>
      </c>
      <c r="I95" t="inlineStr">
        <is>
          <t>0.068094</t>
        </is>
      </c>
    </row>
    <row r="96">
      <c r="E96" t="inlineStr">
        <is>
          <t>GAMMA.INV</t>
        </is>
      </c>
      <c r="F96" t="inlineStr">
        <is>
          <t>=GAMMA.INV(0.068094,9,2)</t>
        </is>
      </c>
      <c r="G96" cm="1">
        <f t="array" ref="G96">_xlfn.GAMMA.INV(0.068094,9,2)</f>
        <v>10.00001119143718</v>
      </c>
      <c r="I96" t="inlineStr">
        <is>
          <t>10.0000112</t>
        </is>
      </c>
    </row>
    <row r="97">
      <c r="E97" t="inlineStr">
        <is>
          <t>GAMMADIST</t>
        </is>
      </c>
      <c r="F97" t="inlineStr">
        <is>
          <t>=GAMMADIST(10.00001131,9,2,TRUE)</t>
        </is>
      </c>
      <c r="G97" cm="1">
        <f t="array" ref="G97">GAMMADIST(10.00001131,9,2,TRUE)</f>
        <v>0.06809400386978719</v>
      </c>
      <c r="I97" t="inlineStr">
        <is>
          <t>0.068094</t>
        </is>
      </c>
    </row>
    <row r="98">
      <c r="E98" t="inlineStr">
        <is>
          <t>GAMMAINV</t>
        </is>
      </c>
      <c r="F98" t="inlineStr">
        <is>
          <t>=GAMMAINV(0.068094,9,2)</t>
        </is>
      </c>
      <c r="G98" cm="1">
        <f t="array" ref="G98">GAMMAINV(0.068094,9,2)</f>
        <v>10.00001119143718</v>
      </c>
      <c r="I98" t="inlineStr">
        <is>
          <t>10.0000112</t>
        </is>
      </c>
    </row>
    <row r="99">
      <c r="E99" t="inlineStr">
        <is>
          <t>GAMMALN</t>
        </is>
      </c>
      <c r="F99" t="inlineStr">
        <is>
          <t>=GAMMALN(4)</t>
        </is>
      </c>
      <c r="G99" cm="1">
        <f t="array" ref="G99">GAMMALN(4)</f>
        <v>1.791759469228055</v>
      </c>
      <c r="I99" t="inlineStr">
        <is>
          <t>1.791759469</t>
        </is>
      </c>
    </row>
    <row r="100">
      <c r="E100" t="inlineStr">
        <is>
          <t>GAMMALN.PRECISE</t>
        </is>
      </c>
      <c r="F100" t="inlineStr">
        <is>
          <t>=GAMMALN.PRECISE(4)</t>
        </is>
      </c>
      <c r="G100" cm="1">
        <f t="array" ref="G100">_xlfn.GAMMALN.PRECISE(4)</f>
        <v>1.791759469228055</v>
      </c>
      <c r="I100" t="inlineStr">
        <is>
          <t>1.791759469</t>
        </is>
      </c>
    </row>
    <row r="101">
      <c r="E101" t="inlineStr">
        <is>
          <t>BETA.DIST cumulative</t>
        </is>
      </c>
      <c r="F101" t="inlineStr">
        <is>
          <t>=BETA.DIST(2,8,10,TRUE,1,3)</t>
        </is>
      </c>
      <c r="G101" cm="1">
        <f t="array" ref="G101">_xlfn.BETA.DIST(2,8,10,TRUE,1,3)</f>
        <v>0.6854705810546873</v>
      </c>
      <c r="I101" t="inlineStr">
        <is>
          <t>0.6854706</t>
        </is>
      </c>
    </row>
    <row r="102">
      <c r="E102" t="inlineStr">
        <is>
          <t>BETA.DIST density</t>
        </is>
      </c>
      <c r="F102" t="inlineStr">
        <is>
          <t>=BETA.DIST(2,8,10,FALSE,1,3)</t>
        </is>
      </c>
      <c r="G102" cm="1">
        <f t="array" ref="G102">_xlfn.BETA.DIST(2,8,10,FALSE,1,3)</f>
        <v>1.4837646484375004</v>
      </c>
      <c r="I102" t="inlineStr">
        <is>
          <t>1.4837646</t>
        </is>
      </c>
    </row>
    <row r="103">
      <c r="E103" t="inlineStr">
        <is>
          <t>BETA.INV</t>
        </is>
      </c>
      <c r="F103" t="inlineStr">
        <is>
          <t>=BETA.INV(0.685470581,8,10,1,3)</t>
        </is>
      </c>
      <c r="G103" cm="1">
        <f t="array" ref="G103">_xlfn.BETA.INV(0.685470581,8,10,1,3)</f>
        <v>1.9999999999631426</v>
      </c>
      <c r="I103" t="inlineStr">
        <is>
          <t>2</t>
        </is>
      </c>
    </row>
    <row r="104">
      <c r="E104" t="inlineStr">
        <is>
          <t>BETADIST</t>
        </is>
      </c>
      <c r="F104" t="inlineStr">
        <is>
          <t>=BETADIST(2,8,10,1,3)</t>
        </is>
      </c>
      <c r="G104" cm="1">
        <f t="array" ref="G104">BETADIST(2,8,10,1,3)</f>
        <v>0.6854705810546873</v>
      </c>
      <c r="I104" t="inlineStr">
        <is>
          <t>0.6854706</t>
        </is>
      </c>
    </row>
    <row r="105">
      <c r="E105" t="inlineStr">
        <is>
          <t>BETAINV</t>
        </is>
      </c>
      <c r="F105" t="inlineStr">
        <is>
          <t>=BETAINV(0.685470581,8,10,1,3)</t>
        </is>
      </c>
      <c r="G105" cm="1">
        <f t="array" ref="G105">BETAINV(0.685470581,8,10,1,3)</f>
        <v>1.9999999999631426</v>
      </c>
      <c r="I105" t="inlineStr">
        <is>
          <t>2</t>
        </is>
      </c>
    </row>
    <row r="106">
      <c r="E106" t="inlineStr">
        <is>
          <t>LOGNORM.DIST cumulative</t>
        </is>
      </c>
      <c r="F106" t="inlineStr">
        <is>
          <t>=LOGNORM.DIST(4,3.5,1.2,TRUE)</t>
        </is>
      </c>
      <c r="G106" cm="1">
        <f t="array" ref="G106">_xlfn.LOGNORM.DIST(4,3.5,1.2,TRUE)</f>
        <v>0.03908355570680049</v>
      </c>
      <c r="I106" t="inlineStr">
        <is>
          <t>0.0390836</t>
        </is>
      </c>
    </row>
    <row r="107">
      <c r="E107" t="inlineStr">
        <is>
          <t>LOGNORM.DIST density</t>
        </is>
      </c>
      <c r="F107" t="inlineStr">
        <is>
          <t>=LOGNORM.DIST(4,3.5,1.2,FALSE)</t>
        </is>
      </c>
      <c r="G107" cm="1">
        <f t="array" ref="G107">_xlfn.LOGNORM.DIST(4,3.5,1.2,FALSE)</f>
        <v>0.01761759668181923</v>
      </c>
      <c r="I107" t="inlineStr">
        <is>
          <t>0.0176176</t>
        </is>
      </c>
    </row>
    <row r="108">
      <c r="E108" t="inlineStr">
        <is>
          <t>LOGNORM.INV</t>
        </is>
      </c>
      <c r="F108" t="inlineStr">
        <is>
          <t>=LOGNORM.INV(0.039084,3.5,1.2)</t>
        </is>
      </c>
      <c r="G108" cm="1">
        <f t="array" ref="G108">_xlfn.LOGNORM.INV(0.039084,3.5,1.2)</f>
        <v>4.000025218680638</v>
      </c>
      <c r="I108" t="inlineStr">
        <is>
          <t>4.0000252</t>
        </is>
      </c>
    </row>
    <row r="109">
      <c r="E109" t="inlineStr">
        <is>
          <t>LOGNORMDIST</t>
        </is>
      </c>
      <c r="F109" t="inlineStr">
        <is>
          <t>=LOGNORMDIST(4,3.5,1.2)</t>
        </is>
      </c>
      <c r="G109" cm="1">
        <f t="array" ref="G109">LOGNORMDIST(4,3.5,1.2)</f>
        <v>0.03908355570680049</v>
      </c>
      <c r="I109" t="inlineStr">
        <is>
          <t>0.0390836</t>
        </is>
      </c>
    </row>
    <row r="110">
      <c r="E110" t="inlineStr">
        <is>
          <t>LOGINV</t>
        </is>
      </c>
      <c r="F110" t="inlineStr">
        <is>
          <t>=LOGINV(0.039084,3.5,1.2)</t>
        </is>
      </c>
      <c r="G110" cm="1">
        <f t="array" ref="G110">LOGINV(0.039084,3.5,1.2)</f>
        <v>4.000025218680638</v>
      </c>
      <c r="I110" t="inlineStr">
        <is>
          <t>4.0000252</t>
        </is>
      </c>
    </row>
    <row r="111">
      <c r="E111" t="inlineStr">
        <is>
          <t>WEIBULL</t>
        </is>
      </c>
      <c r="F111" t="inlineStr">
        <is>
          <t>=WEIBULL(105,20,100,TRUE)</t>
        </is>
      </c>
      <c r="G111" cm="1">
        <f t="array" ref="G111">WEIBULL(105,20,100,TRUE)</f>
        <v>0.9295813900692769</v>
      </c>
      <c r="I111" t="inlineStr">
        <is>
          <t>0.929581</t>
        </is>
      </c>
    </row>
    <row r="112">
      <c r="E112" t="inlineStr">
        <is>
          <t>WEIBULL.DIST density</t>
        </is>
      </c>
      <c r="F112" t="inlineStr">
        <is>
          <t>=WEIBULL.DIST(105,20,100,FALSE)</t>
        </is>
      </c>
      <c r="G112" cm="1">
        <f t="array" ref="G112">_xlfn.WEIBULL.DIST(105,20,100,FALSE)</f>
        <v>0.03558886402450437</v>
      </c>
      <c r="I112" t="inlineStr">
        <is>
          <t>0.035589</t>
        </is>
      </c>
    </row>
    <row r="113">
      <c r="E113" t="inlineStr">
        <is>
          <t>HYPGEOM.DIST cumulative</t>
        </is>
      </c>
      <c r="F113" t="inlineStr">
        <is>
          <t>=HYPGEOM.DIST(1,4,8,20,TRUE)</t>
        </is>
      </c>
      <c r="G113" cm="1">
        <f t="array" ref="G113">_xlfn.HYPGEOM.DIST(1,4,8,20,TRUE)</f>
        <v>0.46542827657378744</v>
      </c>
      <c r="I113" t="inlineStr">
        <is>
          <t>0.4654</t>
        </is>
      </c>
    </row>
    <row r="114">
      <c r="E114" t="inlineStr">
        <is>
          <t>HYPGEOM.DIST</t>
        </is>
      </c>
      <c r="F114" t="inlineStr">
        <is>
          <t>=HYPGEOM.DIST(1,4,8,20,FALSE)</t>
        </is>
      </c>
      <c r="G114" cm="1">
        <f t="array" ref="G114">_xlfn.HYPGEOM.DIST(1,4,8,20,FALSE)</f>
        <v>0.3632610939112487</v>
      </c>
      <c r="I114" t="inlineStr">
        <is>
          <t>0.3633</t>
        </is>
      </c>
    </row>
    <row r="115">
      <c r="E115" t="inlineStr">
        <is>
          <t>HYPGEOMDIST</t>
        </is>
      </c>
      <c r="F115" t="inlineStr">
        <is>
          <t>=HYPGEOMDIST(1,4,8,20)</t>
        </is>
      </c>
      <c r="G115" cm="1">
        <f t="array" ref="G115">HYPGEOMDIST(1,4,8,20)</f>
        <v>0.3632610939112487</v>
      </c>
      <c r="I115" t="inlineStr">
        <is>
          <t>0.363261</t>
        </is>
      </c>
    </row>
    <row r="116">
      <c r="E116" t="inlineStr">
        <is>
          <t>NEGBINOM.DIST cumulative</t>
        </is>
      </c>
      <c r="F116" t="inlineStr">
        <is>
          <t>=NEGBINOM.DIST(10,5,0.25,TRUE)</t>
        </is>
      </c>
      <c r="G116" cm="1">
        <f t="array" ref="G116">_xlfn.NEGBINOM.DIST(10,5,0.25,TRUE)</f>
        <v>0.31351405847817515</v>
      </c>
      <c r="I116" t="inlineStr">
        <is>
          <t>0.3135141</t>
        </is>
      </c>
    </row>
    <row r="117">
      <c r="E117" t="inlineStr">
        <is>
          <t>NEGBINOM.DIST</t>
        </is>
      </c>
      <c r="F117" t="inlineStr">
        <is>
          <t>=NEGBINOM.DIST(10,5,0.25,FALSE)</t>
        </is>
      </c>
      <c r="G117" cm="1">
        <f t="array" ref="G117">_xlfn.NEGBINOM.DIST(10,5,0.25,FALSE)</f>
        <v>0.05504866037517786</v>
      </c>
      <c r="I117" t="inlineStr">
        <is>
          <t>0.0550487</t>
        </is>
      </c>
    </row>
    <row r="118">
      <c r="E118" t="inlineStr">
        <is>
          <t>NEGBINOMDIST</t>
        </is>
      </c>
      <c r="F118" t="inlineStr">
        <is>
          <t>=NEGBINOMDIST(10,5,0.25)</t>
        </is>
      </c>
      <c r="G118" cm="1">
        <f t="array" ref="G118">NEGBINOMDIST(10,5,0.25)</f>
        <v>0.05504866037517786</v>
      </c>
      <c r="I118" t="inlineStr">
        <is>
          <t>0.05504866</t>
        </is>
      </c>
    </row>
    <row r="119">
      <c r="E119" t="inlineStr">
        <is>
          <t>Z.TEST</t>
        </is>
      </c>
      <c r="F119" t="inlineStr">
        <is>
          <t>=Z.TEST({3,6,7,8,6,5,4,2,1,9},4)</t>
        </is>
      </c>
      <c r="G119" cm="1">
        <f t="array" ref="G119">_xlfn.Z.TEST({3,6,7,8,6,5,4,2,1,9},4)</f>
        <v>0.09057419685136381</v>
      </c>
      <c r="I119" t="inlineStr">
        <is>
          <t>0.090574</t>
        </is>
      </c>
    </row>
    <row r="120">
      <c r="E120" t="inlineStr">
        <is>
          <t>ZTEST</t>
        </is>
      </c>
      <c r="F120" t="inlineStr">
        <is>
          <t>=ZTEST({3,6,7,8,6,5,4,2,1,9},6)</t>
        </is>
      </c>
      <c r="G120" cm="1">
        <f t="array" ref="G120">ZTEST({3,6,7,8,6,5,4,2,1,9},6)</f>
        <v>0.8630433891295299</v>
      </c>
      <c r="I120" t="inlineStr">
        <is>
          <t>0.863043</t>
        </is>
      </c>
    </row>
    <row r="121">
      <c r="E121" t="inlineStr">
        <is>
          <t>CONFIDENCE</t>
        </is>
      </c>
      <c r="F121" t="inlineStr">
        <is>
          <t>=CONFIDENCE(0.05,2.5,50)</t>
        </is>
      </c>
      <c r="G121" cm="1">
        <f t="array" ref="G121">CONFIDENCE(0.05,2.5,50)</f>
        <v>0.6929519121748389</v>
      </c>
      <c r="I121" t="inlineStr">
        <is>
          <t>0.692952</t>
        </is>
      </c>
    </row>
    <row r="122">
      <c r="E122" t="inlineStr">
        <is>
          <t>CONFIDENCE.NORM</t>
        </is>
      </c>
      <c r="F122" t="inlineStr">
        <is>
          <t>=CONFIDENCE.NORM(0.05,2.5,50)</t>
        </is>
      </c>
      <c r="G122" cm="1">
        <f t="array" ref="G122">_xlfn.CONFIDENCE.NORM(0.05,2.5,50)</f>
        <v>0.6929519121748389</v>
      </c>
      <c r="I122" t="inlineStr">
        <is>
          <t>0.692952</t>
        </is>
      </c>
    </row>
    <row r="123">
      <c r="E123" t="inlineStr">
        <is>
          <t>CONFIDENCE.T</t>
        </is>
      </c>
      <c r="F123" t="inlineStr">
        <is>
          <t>=CONFIDENCE.T(0.05,1,50)</t>
        </is>
      </c>
      <c r="G123" cm="1">
        <f t="array" ref="G123">_xlfn.CONFIDENCE.T(0.05,1,50)</f>
        <v>0.28419685549572915</v>
      </c>
      <c r="I123" t="inlineStr">
        <is>
          <t>0.284196855</t>
        </is>
      </c>
    </row>
    <row r="124">
      <c r="E124" t="inlineStr">
        <is>
          <t>PROB single value</t>
        </is>
      </c>
      <c r="F124" t="inlineStr">
        <is>
          <t>=PROB({0,1,2,3},{0.2,0.3,0.1,0.4},2)</t>
        </is>
      </c>
      <c r="G124" cm="1">
        <f t="array" ref="G124">PROB({0,1,2,3},{0.2,0.3,0.1,0.4},2)</f>
        <v>0.1</v>
      </c>
      <c r="I124" t="inlineStr">
        <is>
          <t>0.1</t>
        </is>
      </c>
    </row>
    <row r="125">
      <c r="E125" t="inlineStr">
        <is>
          <t>PROB range</t>
        </is>
      </c>
      <c r="F125" t="inlineStr">
        <is>
          <t>=PROB({0,1,2,3},{0.2,0.3,0.1,0.4},1,3)</t>
        </is>
      </c>
      <c r="G125" cm="1">
        <f t="array" ref="G125">PROB({0,1,2,3},{0.2,0.3,0.1,0.4},1,3)</f>
        <v>0.8</v>
      </c>
      <c r="I125" t="inlineStr">
        <is>
          <t>0.8</t>
        </is>
      </c>
    </row>
    <row r="126">
      <c r="E126" t="inlineStr">
        <is>
          <t>PERMUT</t>
        </is>
      </c>
      <c r="F126" t="inlineStr">
        <is>
          <t>=PERMUT(100,3)</t>
        </is>
      </c>
      <c r="G126" cm="1">
        <f t="array" ref="G126">PERMUT(100,3)</f>
        <v>970200</v>
      </c>
      <c r="I126" t="inlineStr">
        <is>
          <t>970200</t>
        </is>
      </c>
    </row>
    <row r="127">
      <c r="E127" t="inlineStr">
        <is>
          <t>PERMUTATIONA</t>
        </is>
      </c>
      <c r="F127" t="inlineStr">
        <is>
          <t>=PERMUTATIONA(3,2)</t>
        </is>
      </c>
      <c r="G127" cm="1">
        <f t="array" ref="G127">_xlfn.PERMUTATIONA(3,2)</f>
        <v>9</v>
      </c>
      <c r="I127" t="inlineStr">
        <is>
          <t>9</t>
        </is>
      </c>
    </row>
    <row r="128">
      <c r="E128" t="inlineStr">
        <is>
          <t>FISHER</t>
        </is>
      </c>
      <c r="F128" t="inlineStr">
        <is>
          <t>=FISHER(0.75)</t>
        </is>
      </c>
      <c r="G128" cm="1">
        <f t="array" ref="G128">FISHER(0.75)</f>
        <v>0.9729550745276566</v>
      </c>
      <c r="I128" t="inlineStr">
        <is>
          <t>0.972955075</t>
        </is>
      </c>
    </row>
    <row r="129">
      <c r="E129" t="inlineStr">
        <is>
          <t>FISHERINV</t>
        </is>
      </c>
      <c r="F129" t="inlineStr">
        <is>
          <t>=FISHERINV(0.972955075)</t>
        </is>
      </c>
      <c r="G129" cm="1">
        <f t="array" ref="G129">FISHERINV(0.972955075)</f>
        <v>0.7500000002066503</v>
      </c>
      <c r="I129" t="inlineStr">
        <is>
          <t>0.75</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defaultRowHeight="15"/>
  <cols>
    <col min="1" max="6" width="14" customWidth="1"/>
  </cols>
  <sheetData>
    <row r="1">
      <c r="A1" s="1" t="inlineStr">
        <is>
          <t>Floor space</t>
        </is>
      </c>
      <c r="B1" s="1" t="inlineStr">
        <is>
          <t>Offices</t>
        </is>
      </c>
      <c r="C1" s="1" t="inlineStr">
        <is>
          <t>Entrances</t>
        </is>
      </c>
      <c r="D1" s="1" t="inlineStr">
        <is>
          <t>Age</t>
        </is>
      </c>
      <c r="E1" s="1" t="inlineStr">
        <is>
          <t>Value</t>
        </is>
      </c>
    </row>
    <row r="2">
      <c r="A2">
        <v>2310</v>
      </c>
      <c r="B2">
        <v>2</v>
      </c>
      <c r="C2">
        <v>2</v>
      </c>
      <c r="D2">
        <v>20</v>
      </c>
      <c r="E2">
        <v>142000</v>
      </c>
    </row>
    <row r="3">
      <c r="A3">
        <v>2333</v>
      </c>
      <c r="B3">
        <v>2</v>
      </c>
      <c r="C3">
        <v>2</v>
      </c>
      <c r="D3">
        <v>12</v>
      </c>
      <c r="E3">
        <v>144000</v>
      </c>
    </row>
    <row r="4">
      <c r="A4">
        <v>2356</v>
      </c>
      <c r="B4">
        <v>3</v>
      </c>
      <c r="C4">
        <v>1.5</v>
      </c>
      <c r="D4">
        <v>33</v>
      </c>
      <c r="E4">
        <v>151000</v>
      </c>
    </row>
    <row r="5">
      <c r="A5">
        <v>2379</v>
      </c>
      <c r="B5">
        <v>3</v>
      </c>
      <c r="C5">
        <v>2</v>
      </c>
      <c r="D5">
        <v>43</v>
      </c>
      <c r="E5">
        <v>150000</v>
      </c>
    </row>
    <row r="6">
      <c r="A6">
        <v>2402</v>
      </c>
      <c r="B6">
        <v>2</v>
      </c>
      <c r="C6">
        <v>3</v>
      </c>
      <c r="D6">
        <v>53</v>
      </c>
      <c r="E6">
        <v>139000</v>
      </c>
    </row>
    <row r="7">
      <c r="A7">
        <v>2425</v>
      </c>
      <c r="B7">
        <v>4</v>
      </c>
      <c r="C7">
        <v>2</v>
      </c>
      <c r="D7">
        <v>23</v>
      </c>
      <c r="E7">
        <v>169000</v>
      </c>
    </row>
    <row r="8">
      <c r="A8">
        <v>2448</v>
      </c>
      <c r="B8">
        <v>2</v>
      </c>
      <c r="C8">
        <v>1.5</v>
      </c>
      <c r="D8">
        <v>99</v>
      </c>
      <c r="E8">
        <v>126000</v>
      </c>
    </row>
    <row r="9">
      <c r="A9">
        <v>2471</v>
      </c>
      <c r="B9">
        <v>2</v>
      </c>
      <c r="C9">
        <v>2</v>
      </c>
      <c r="D9">
        <v>34</v>
      </c>
      <c r="E9">
        <v>142900</v>
      </c>
    </row>
    <row r="10">
      <c r="A10">
        <v>2494</v>
      </c>
      <c r="B10">
        <v>3</v>
      </c>
      <c r="C10">
        <v>3</v>
      </c>
      <c r="D10">
        <v>23</v>
      </c>
      <c r="E10">
        <v>163000</v>
      </c>
    </row>
    <row r="11">
      <c r="A11">
        <v>2517</v>
      </c>
      <c r="B11">
        <v>4</v>
      </c>
      <c r="C11">
        <v>4</v>
      </c>
      <c r="D11">
        <v>55</v>
      </c>
      <c r="E11">
        <v>169000</v>
      </c>
    </row>
    <row r="12">
      <c r="A12">
        <v>2540</v>
      </c>
      <c r="B12">
        <v>2</v>
      </c>
      <c r="C12">
        <v>3</v>
      </c>
      <c r="D12">
        <v>22</v>
      </c>
      <c r="E12">
        <v>149000</v>
      </c>
    </row>
    <row r="14">
      <c r="A14" s="1" t="inlineStr">
        <is>
          <t>LINEST with statistics (5x5 spill):  =LINEST(E2:E12,A2:D12,TRUE,TRUE)</t>
        </is>
      </c>
      <c r="I14" t="inlineStr">
        <is>
          <t>Expected: m: -234.2371645 2553.21066 12529.76817 27.64138737 52317.83051; se: 13.26801148 530.6691519 400.0668382 5.429374042 12237.3616; r2 0.996747993 sey 970.5784629; F 459.7536742 df 6; ssreg 1732393319 ssresid 5652135.316</t>
        </is>
      </c>
    </row>
    <row r="15">
      <c r="A15" cm="1">
        <f t="array" ref="A15:E19">LINEST(E2:E12,A2:D12,TRUE,TRUE)</f>
        <v>-234.2371644712024</v>
      </c>
      <c r="B15">
        <v>2553.210660391536</v>
      </c>
      <c r="C15">
        <v>12529.768167086751</v>
      </c>
      <c r="D15">
        <v>27.641387366020297</v>
      </c>
      <c r="E15">
        <v>52317.8305072913</v>
      </c>
    </row>
    <row r="16">
      <c r="A16">
        <v>13.268011475500398</v>
      </c>
      <c r="B16">
        <v>530.6691519303797</v>
      </c>
      <c r="C16">
        <v>400.06683819395414</v>
      </c>
      <c r="D16">
        <v>5.429374041545331</v>
      </c>
      <c r="E16">
        <v>12237.361602862384</v>
      </c>
    </row>
    <row r="17">
      <c r="A17">
        <v>0.99674799338451</v>
      </c>
      <c r="B17">
        <v>970.5784629285088</v>
      </c>
      <c r="C17" t="e">
        <v>#N/A</v>
      </c>
      <c r="D17" t="e">
        <v>#N/A</v>
      </c>
      <c r="E17" t="e">
        <v>#N/A</v>
      </c>
    </row>
    <row r="18">
      <c r="A18">
        <v>459.75367422539085</v>
      </c>
      <c r="B18">
        <v>6</v>
      </c>
      <c r="C18" t="e">
        <v>#N/A</v>
      </c>
      <c r="D18" t="e">
        <v>#N/A</v>
      </c>
      <c r="E18" t="e">
        <v>#N/A</v>
      </c>
    </row>
    <row r="19">
      <c r="A19">
        <v>1.7323933192292535e+09</v>
      </c>
      <c r="B19">
        <v>5.652135316204e+06</v>
      </c>
      <c r="C19" t="e">
        <v>#N/A</v>
      </c>
      <c r="D19" t="e">
        <v>#N/A</v>
      </c>
      <c r="E19" t="e">
        <v>#N/A</v>
      </c>
    </row>
    <row r="21">
      <c r="A21" s="1" t="inlineStr">
        <is>
          <t>LINEST without constant:  =LINEST(E2:E12,A2:D12,FALSE,TRUE)</t>
        </is>
      </c>
      <c r="I21" t="inlineStr">
        <is>
          <t>Expected: m: -250.1350324 1248.795225 12540.26186 50.71193751 0; se: 23.71906247 808.5983029 745.0407108 1.11437735 #N/A; r2 0.999907674 sey 1807.533164; F 18952.72317 df 7</t>
        </is>
      </c>
    </row>
    <row r="22">
      <c r="A22" cm="1">
        <f t="array" ref="A22:E26">LINEST(E2:E12,A2:D12,FALSE,TRUE)</f>
        <v>-250.13503238418417</v>
      </c>
      <c r="B22">
        <v>1248.7952249646457</v>
      </c>
      <c r="C22">
        <v>12540.261860152577</v>
      </c>
      <c r="D22">
        <v>50.71193750640342</v>
      </c>
      <c r="E22">
        <v>0</v>
      </c>
    </row>
    <row r="23">
      <c r="A23">
        <v>23.719062469351442</v>
      </c>
      <c r="B23">
        <v>808.598302879007</v>
      </c>
      <c r="C23">
        <v>745.0407107904937</v>
      </c>
      <c r="D23">
        <v>1.1143773497652991</v>
      </c>
      <c r="E23" t="e">
        <v>#N/A</v>
      </c>
    </row>
    <row r="24">
      <c r="A24">
        <v>0.9999076735088338</v>
      </c>
      <c r="B24">
        <v>1807.5331643135164</v>
      </c>
      <c r="C24" t="e">
        <v>#N/A</v>
      </c>
      <c r="D24" t="e">
        <v>#N/A</v>
      </c>
      <c r="E24" t="e">
        <v>#N/A</v>
      </c>
    </row>
    <row r="25">
      <c r="A25">
        <v>18952.723173348037</v>
      </c>
      <c r="B25">
        <v>7</v>
      </c>
      <c r="C25" t="e">
        <v>#N/A</v>
      </c>
      <c r="D25" t="e">
        <v>#N/A</v>
      </c>
      <c r="E25" t="e">
        <v>#N/A</v>
      </c>
    </row>
    <row r="26">
      <c r="A26">
        <v>2.4768753976701932e+11</v>
      </c>
      <c r="B26">
        <v>2.2870232980652638e+07</v>
      </c>
      <c r="C26" t="e">
        <v>#N/A</v>
      </c>
      <c r="D26" t="e">
        <v>#N/A</v>
      </c>
      <c r="E26" t="e">
        <v>#N/A</v>
      </c>
    </row>
    <row r="28">
      <c r="A28" s="1" t="inlineStr">
        <is>
          <t>LOGEST with statistics:  =LOGEST({33100;47300;69000;102000;150000;220000},{11;12;13;14;15;16},TRUE,TRUE)</t>
        </is>
      </c>
      <c r="I28" t="inlineStr">
        <is>
          <t>Expected: m 1.463275628 b 495.3047702; se 0.002633403 0.035834282; r2 0.99980862 sey 0.011016315; F 20896.8011 df 4</t>
        </is>
      </c>
    </row>
    <row r="29">
      <c r="A29" cm="1">
        <f t="array" ref="A29:B33">LOGEST({33100;47300;69000;102000;150000;220000},{11;12;13;14;15;16},TRUE,TRUE)</f>
        <v>1.4632756281161756</v>
      </c>
      <c r="B29">
        <v>495.3047701587278</v>
      </c>
    </row>
    <row r="30">
      <c r="A30">
        <v>0.002633402891425114</v>
      </c>
      <c r="B30">
        <v>0.03583428243571834</v>
      </c>
    </row>
    <row r="31">
      <c r="A31">
        <v>0.9998086197758176</v>
      </c>
      <c r="B31">
        <v>0.011016314665073235</v>
      </c>
    </row>
    <row r="32">
      <c r="A32">
        <v>20896.801099419506</v>
      </c>
      <c r="B32">
        <v>4</v>
      </c>
    </row>
    <row r="33">
      <c r="A33">
        <v>2.536018829938569</v>
      </c>
      <c r="B33">
        <v>0.0004854367551996305</v>
      </c>
    </row>
    <row r="35">
      <c r="A35" s="1" t="inlineStr">
        <is>
          <t>FREQUENCY (4 rows):  =FREQUENCY({79,85,78,85,50,81,95,88,97},{70,79,89})</t>
        </is>
      </c>
      <c r="I35" t="inlineStr">
        <is>
          <t>Expected: 1, 2, 4, 2</t>
        </is>
      </c>
    </row>
    <row r="36">
      <c r="A36" cm="1">
        <f t="array" ref="A36:A39">FREQUENCY({79,85,78,85,50,81,95,88,97},{70,79,89})</f>
        <v>1</v>
      </c>
    </row>
    <row r="37">
      <c r="A37">
        <v>2</v>
      </c>
    </row>
    <row r="38">
      <c r="A38">
        <v>4</v>
      </c>
    </row>
    <row r="39">
      <c r="A39">
        <v>2</v>
      </c>
    </row>
    <row r="41">
      <c r="A41" s="1" t="inlineStr">
        <is>
          <t>TREND, new x (row):  =TREND({133890,135000,135790,137300,138130,139100,139900,141120,141890,143230,144000,145290},{1,2,3,4,5,6,7,8,9,10,11,12},{13,14,15,16,17})</t>
        </is>
      </c>
      <c r="I41" t="inlineStr">
        <is>
          <t>Expected: 146171.5152 147189.697 148207.8788 149226.0606 150244.2424</t>
        </is>
      </c>
    </row>
    <row r="42">
      <c r="A42" cm="1">
        <f t="array" ref="A42:E42">TREND({133890,135000,135790,137300,138130,139100,139900,141120,141890,143230,144000,145290},{1,2,3,4,5,6,7,8,9,10,11,12},{13,14,15,16,17})</f>
        <v>146171.51515151517</v>
      </c>
      <c r="B42">
        <v>147189.69696969696</v>
      </c>
      <c r="C42">
        <v>148207.87878787878</v>
      </c>
      <c r="D42">
        <v>149226.0606060606</v>
      </c>
      <c r="E42">
        <v>150244.24242424243</v>
      </c>
    </row>
    <row r="43">
      <c r="A43" s="1" t="inlineStr">
        <is>
          <t>GROWTH fitted values (row):  =GROWTH({33100,47300,69000,102000,150000,220000},{11,12,13,14,15,16})</t>
        </is>
      </c>
      <c r="I43" t="inlineStr">
        <is>
          <t>Expected: 32618.20377 47729.42261 69841.30086 102197.0734 149542.4867 218821.8762</t>
        </is>
      </c>
    </row>
    <row r="44">
      <c r="A44" cm="1">
        <f t="array" ref="A44:F44">GROWTH({33100,47300,69000,102000,150000,220000},{11,12,13,14,15,16})</f>
        <v>32618.203773539713</v>
      </c>
      <c r="B44">
        <v>47729.42261474775</v>
      </c>
      <c r="C44">
        <v>69841.30085621744</v>
      </c>
      <c r="D44">
        <v>102197.07337883241</v>
      </c>
      <c r="E44">
        <v>149542.48674004595</v>
      </c>
      <c r="F44">
        <v>218821.8762145957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