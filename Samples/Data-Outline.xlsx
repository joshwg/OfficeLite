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metadata.xml" ContentType="application/vnd.openxmlformats-officedocument.spreadsheetml.sheetMetadata+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btotals" sheetId="1" r:id="rId1"/>
    <sheet name="Groups" sheetId="2" r:id="rId4"/>
    <sheet name="Summary Above" sheetId="3" r:id="rId5"/>
  </sheets>
  <calcPr calcId="12221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name val="Calibri"/>
      <family val="2"/>
      <b val="1"/>
      <color rgb="FF000000"/>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ype="http://schemas.openxmlformats.org/officeDocument/2006/relationships/sheetMetadata" Target="metadata.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tabSelected="true" workbookViewId="0"/>
  </sheetViews>
  <sheetFormatPr outlineLevelRow="2" defaultRowHeight="15"/>
  <cols>
    <col min="1" max="3" width="12" customWidth="1"/>
    <col min="4" max="4" width="9" customWidth="1"/>
    <col min="5" max="5" width="11" customWidth="1"/>
  </cols>
  <sheetData>
    <row r="1">
      <c r="A1" s="1" t="inlineStr">
        <is>
          <t>Region</t>
        </is>
      </c>
      <c r="B1" s="1" t="inlineStr">
        <is>
          <t>Rep</t>
        </is>
      </c>
      <c r="C1" s="1" t="inlineStr">
        <is>
          <t>Product</t>
        </is>
      </c>
      <c r="D1" s="1" t="inlineStr">
        <is>
          <t>Units</t>
        </is>
      </c>
      <c r="E1" s="1" t="inlineStr">
        <is>
          <t>Revenue</t>
        </is>
      </c>
    </row>
    <row r="2" outlineLevel="2">
      <c r="A2" t="inlineStr">
        <is>
          <t>East</t>
        </is>
      </c>
      <c r="B2" t="inlineStr">
        <is>
          <t>Alvarez</t>
        </is>
      </c>
      <c r="C2" t="inlineStr">
        <is>
          <t>Widgets</t>
        </is>
      </c>
      <c r="D2">
        <v>120</v>
      </c>
      <c r="E2">
        <v>2400</v>
      </c>
    </row>
    <row r="3" outlineLevel="2">
      <c r="A3" t="inlineStr">
        <is>
          <t>East</t>
        </is>
      </c>
      <c r="B3" t="inlineStr">
        <is>
          <t>Alvarez</t>
        </is>
      </c>
      <c r="C3" t="inlineStr">
        <is>
          <t>Gadgets</t>
        </is>
      </c>
      <c r="D3">
        <v>80</v>
      </c>
      <c r="E3">
        <v>3200</v>
      </c>
    </row>
    <row r="4" outlineLevel="2">
      <c r="A4" t="inlineStr">
        <is>
          <t>East</t>
        </is>
      </c>
      <c r="B4" t="inlineStr">
        <is>
          <t>Brooks</t>
        </is>
      </c>
      <c r="C4" t="inlineStr">
        <is>
          <t>Widgets</t>
        </is>
      </c>
      <c r="D4">
        <v>95</v>
      </c>
      <c r="E4">
        <v>1900</v>
      </c>
    </row>
    <row r="5" outlineLevel="1">
      <c r="A5" s="1" t="inlineStr">
        <is>
          <t>East Total</t>
        </is>
      </c>
      <c r="D5">
        <f>SUBTOTAL(9,D2:D4)</f>
        <v>295</v>
      </c>
      <c r="E5">
        <f>SUBTOTAL(9,E2:E4)</f>
        <v>7500</v>
      </c>
    </row>
    <row r="6" outlineLevel="2" hidden="1">
      <c r="A6" t="inlineStr">
        <is>
          <t>North</t>
        </is>
      </c>
      <c r="B6" t="inlineStr">
        <is>
          <t>Chen</t>
        </is>
      </c>
      <c r="C6" t="inlineStr">
        <is>
          <t>Gizmos</t>
        </is>
      </c>
      <c r="D6">
        <v>60</v>
      </c>
      <c r="E6">
        <v>4200</v>
      </c>
    </row>
    <row r="7" outlineLevel="2" hidden="1">
      <c r="A7" t="inlineStr">
        <is>
          <t>North</t>
        </is>
      </c>
      <c r="B7" t="inlineStr">
        <is>
          <t>Chen</t>
        </is>
      </c>
      <c r="C7" t="inlineStr">
        <is>
          <t>Widgets</t>
        </is>
      </c>
      <c r="D7">
        <v>140</v>
      </c>
      <c r="E7">
        <v>2800</v>
      </c>
    </row>
    <row r="8" collapsed="1" outlineLevel="1">
      <c r="A8" s="1" t="inlineStr">
        <is>
          <t>North Total</t>
        </is>
      </c>
      <c r="D8">
        <f>SUBTOTAL(9,D6:D7)</f>
        <v>200</v>
      </c>
      <c r="E8">
        <f>SUBTOTAL(9,E6:E7)</f>
        <v>7000</v>
      </c>
    </row>
    <row r="9" outlineLevel="2">
      <c r="A9" t="inlineStr">
        <is>
          <t>South</t>
        </is>
      </c>
      <c r="B9" t="inlineStr">
        <is>
          <t>Diaz</t>
        </is>
      </c>
      <c r="C9" t="inlineStr">
        <is>
          <t>Gadgets</t>
        </is>
      </c>
      <c r="D9">
        <v>75</v>
      </c>
      <c r="E9">
        <v>3000</v>
      </c>
    </row>
    <row r="10" outlineLevel="2">
      <c r="A10" t="inlineStr">
        <is>
          <t>South</t>
        </is>
      </c>
      <c r="B10" t="inlineStr">
        <is>
          <t>Evans</t>
        </is>
      </c>
      <c r="C10" t="inlineStr">
        <is>
          <t>Gizmos</t>
        </is>
      </c>
      <c r="D10">
        <v>40</v>
      </c>
      <c r="E10">
        <v>2800</v>
      </c>
    </row>
    <row r="11" outlineLevel="2">
      <c r="A11" t="inlineStr">
        <is>
          <t>South</t>
        </is>
      </c>
      <c r="B11" t="inlineStr">
        <is>
          <t>Evans</t>
        </is>
      </c>
      <c r="C11" t="inlineStr">
        <is>
          <t>Widgets</t>
        </is>
      </c>
      <c r="D11">
        <v>110</v>
      </c>
      <c r="E11">
        <v>2200</v>
      </c>
    </row>
    <row r="12" outlineLevel="1">
      <c r="A12" s="1" t="inlineStr">
        <is>
          <t>South Total</t>
        </is>
      </c>
      <c r="D12">
        <f>SUBTOTAL(9,D9:D11)</f>
        <v>225</v>
      </c>
      <c r="E12">
        <f>SUBTOTAL(9,E9:E11)</f>
        <v>8000</v>
      </c>
    </row>
    <row r="13" outlineLevel="2">
      <c r="A13" t="inlineStr">
        <is>
          <t>West</t>
        </is>
      </c>
      <c r="B13" t="inlineStr">
        <is>
          <t>Foster</t>
        </is>
      </c>
      <c r="C13" t="inlineStr">
        <is>
          <t>Gadgets</t>
        </is>
      </c>
      <c r="D13">
        <v>90</v>
      </c>
      <c r="E13">
        <v>3600</v>
      </c>
    </row>
    <row r="14" outlineLevel="2">
      <c r="A14" t="inlineStr">
        <is>
          <t>West</t>
        </is>
      </c>
      <c r="B14" t="inlineStr">
        <is>
          <t>Foster</t>
        </is>
      </c>
      <c r="C14" t="inlineStr">
        <is>
          <t>Gizmos</t>
        </is>
      </c>
      <c r="D14">
        <v>55</v>
      </c>
      <c r="E14">
        <v>3850</v>
      </c>
    </row>
    <row r="15" outlineLevel="1">
      <c r="A15" s="1" t="inlineStr">
        <is>
          <t>West Total</t>
        </is>
      </c>
      <c r="D15">
        <f>SUBTOTAL(9,D13:D14)</f>
        <v>145</v>
      </c>
      <c r="E15">
        <f>SUBTOTAL(9,E13:E14)</f>
        <v>7450</v>
      </c>
    </row>
    <row r="16">
      <c r="A16" s="1" t="inlineStr">
        <is>
          <t>Grand Total</t>
        </is>
      </c>
      <c r="D16">
        <f>SUBTOTAL(9,D2:D15)</f>
        <v>865</v>
      </c>
      <c r="E16">
        <f>SUBTOTAL(9,E2:E15)</f>
        <v>29950</v>
      </c>
    </row>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showGridLines="true" workbookViewId="0"/>
  </sheetViews>
  <sheetFormatPr outlineLevelRow="2" outlineLevelCol="2" defaultRowHeight="15"/>
  <cols>
    <col min="2" max="4" outlineLevel="2"/>
    <col min="5" max="5" outlineLevel="1"/>
    <col min="6" max="8" width="9.140625" hidden="1" outlineLevel="2"/>
    <col min="9" max="9" outlineLevel="1" collapsed="1"/>
  </cols>
  <sheetData>
    <row r="1">
      <c r="A1" s="1" t="inlineStr">
        <is>
          <t>Budget</t>
        </is>
      </c>
      <c r="B1" s="1" t="inlineStr">
        <is>
          <t>Jan</t>
        </is>
      </c>
      <c r="C1" s="1" t="inlineStr">
        <is>
          <t>Feb</t>
        </is>
      </c>
      <c r="D1" s="1" t="inlineStr">
        <is>
          <t>Mar</t>
        </is>
      </c>
      <c r="E1" s="1" t="inlineStr">
        <is>
          <t>Q1</t>
        </is>
      </c>
      <c r="F1" s="1" t="inlineStr">
        <is>
          <t>Apr</t>
        </is>
      </c>
      <c r="G1" s="1" t="inlineStr">
        <is>
          <t>May</t>
        </is>
      </c>
      <c r="H1" s="1" t="inlineStr">
        <is>
          <t>Jun</t>
        </is>
      </c>
      <c r="I1" s="1" t="inlineStr">
        <is>
          <t>Q2</t>
        </is>
      </c>
      <c r="J1" s="1" t="inlineStr">
        <is>
          <t>H1</t>
        </is>
      </c>
    </row>
    <row r="2" outlineLevel="1">
      <c r="A2" t="inlineStr">
        <is>
          <t>Rent</t>
        </is>
      </c>
      <c r="B2">
        <v>1000</v>
      </c>
      <c r="C2">
        <v>1000</v>
      </c>
      <c r="D2">
        <v>1000</v>
      </c>
      <c r="E2" s="1" cm="1">
        <f t="array" ref="E2">SUM(B2:D2)</f>
        <v>3000</v>
      </c>
      <c r="F2">
        <v>1050</v>
      </c>
      <c r="G2">
        <v>1050</v>
      </c>
      <c r="H2">
        <v>1050</v>
      </c>
      <c r="I2" s="1" cm="1">
        <f t="array" ref="I2">SUM(F2:H2)</f>
        <v>3150</v>
      </c>
      <c r="J2" s="1" cm="1">
        <f t="array" ref="J2">E2+I2</f>
        <v>6150</v>
      </c>
    </row>
    <row r="3" outlineLevel="2" hidden="1">
      <c r="A3" t="inlineStr">
        <is>
          <t>Power</t>
        </is>
      </c>
      <c r="B3">
        <v>220</v>
      </c>
      <c r="C3">
        <v>180</v>
      </c>
      <c r="D3">
        <v>150</v>
      </c>
      <c r="E3" s="1" cm="1">
        <f t="array" ref="E3">SUM(B3:D3)</f>
        <v>550</v>
      </c>
      <c r="F3">
        <v>270</v>
      </c>
      <c r="G3">
        <v>230</v>
      </c>
      <c r="H3">
        <v>200</v>
      </c>
      <c r="I3" s="1" cm="1">
        <f t="array" ref="I3">SUM(F3:H3)</f>
        <v>700</v>
      </c>
      <c r="J3" s="1" cm="1">
        <f t="array" ref="J3">E3+I3</f>
        <v>1250</v>
      </c>
    </row>
    <row r="4" outlineLevel="2" hidden="1">
      <c r="A4" t="inlineStr">
        <is>
          <t>Water</t>
        </is>
      </c>
      <c r="B4">
        <v>60</v>
      </c>
      <c r="C4">
        <v>55</v>
      </c>
      <c r="D4">
        <v>58</v>
      </c>
      <c r="E4" s="1" cm="1">
        <f t="array" ref="E4">SUM(B4:D4)</f>
        <v>173</v>
      </c>
      <c r="F4">
        <v>110</v>
      </c>
      <c r="G4">
        <v>105</v>
      </c>
      <c r="H4">
        <v>108</v>
      </c>
      <c r="I4" s="1" cm="1">
        <f t="array" ref="I4">SUM(F4:H4)</f>
        <v>323</v>
      </c>
      <c r="J4" s="1" cm="1">
        <f t="array" ref="J4">E4+I4</f>
        <v>496</v>
      </c>
    </row>
    <row r="5" collapsed="1" outlineLevel="1">
      <c r="A5" t="inlineStr">
        <is>
          <t>Utilities</t>
        </is>
      </c>
      <c r="B5" cm="1">
        <f t="array" ref="B5">SUM(B3:B4)</f>
        <v>280</v>
      </c>
      <c r="C5" cm="1">
        <f t="array" ref="C5">SUM(C3:C4)</f>
        <v>235</v>
      </c>
      <c r="D5" cm="1">
        <f t="array" ref="D5">SUM(D3:D4)</f>
        <v>208</v>
      </c>
      <c r="E5" s="1" cm="1">
        <f t="array" ref="E5">SUM(B5:D5)</f>
        <v>723</v>
      </c>
      <c r="F5" cm="1">
        <f t="array" ref="F5">SUM(F3:F4)</f>
        <v>380</v>
      </c>
      <c r="G5" cm="1">
        <f t="array" ref="G5">SUM(G3:G4)</f>
        <v>335</v>
      </c>
      <c r="H5" cm="1">
        <f t="array" ref="H5">SUM(H3:H4)</f>
        <v>308</v>
      </c>
      <c r="I5" s="1" cm="1">
        <f t="array" ref="I5">SUM(F5:H5)</f>
        <v>1023</v>
      </c>
      <c r="J5" s="1" cm="1">
        <f t="array" ref="J5">E5+I5</f>
        <v>1746</v>
      </c>
    </row>
    <row r="6" outlineLevel="2">
      <c r="A6" t="inlineStr">
        <is>
          <t>Salaries</t>
        </is>
      </c>
      <c r="B6">
        <v>9000</v>
      </c>
      <c r="C6">
        <v>9000</v>
      </c>
      <c r="D6">
        <v>9500</v>
      </c>
      <c r="E6" s="1" cm="1">
        <f t="array" ref="E6">SUM(B6:D6)</f>
        <v>27500</v>
      </c>
      <c r="F6">
        <v>9050</v>
      </c>
      <c r="G6">
        <v>9050</v>
      </c>
      <c r="H6">
        <v>9550</v>
      </c>
      <c r="I6" s="1" cm="1">
        <f t="array" ref="I6">SUM(F6:H6)</f>
        <v>27650</v>
      </c>
      <c r="J6" s="1" cm="1">
        <f t="array" ref="J6">E6+I6</f>
        <v>55150</v>
      </c>
    </row>
    <row r="7" outlineLevel="2">
      <c r="A7" t="inlineStr">
        <is>
          <t>Benefits</t>
        </is>
      </c>
      <c r="B7">
        <v>1200</v>
      </c>
      <c r="C7">
        <v>1200</v>
      </c>
      <c r="D7">
        <v>1300</v>
      </c>
      <c r="E7" s="1" cm="1">
        <f t="array" ref="E7">SUM(B7:D7)</f>
        <v>3700</v>
      </c>
      <c r="F7">
        <v>1250</v>
      </c>
      <c r="G7">
        <v>1250</v>
      </c>
      <c r="H7">
        <v>1350</v>
      </c>
      <c r="I7" s="1" cm="1">
        <f t="array" ref="I7">SUM(F7:H7)</f>
        <v>3850</v>
      </c>
      <c r="J7" s="1" cm="1">
        <f t="array" ref="J7">E7+I7</f>
        <v>7550</v>
      </c>
    </row>
    <row r="8" outlineLevel="1">
      <c r="A8" t="inlineStr">
        <is>
          <t>Staff</t>
        </is>
      </c>
      <c r="B8" cm="1">
        <f t="array" ref="B8">SUM(B6:B7)</f>
        <v>10200</v>
      </c>
      <c r="C8" cm="1">
        <f t="array" ref="C8">SUM(C6:C7)</f>
        <v>10200</v>
      </c>
      <c r="D8" cm="1">
        <f t="array" ref="D8">SUM(D6:D7)</f>
        <v>10800</v>
      </c>
      <c r="E8" s="1" cm="1">
        <f t="array" ref="E8">SUM(B8:D8)</f>
        <v>31200</v>
      </c>
      <c r="F8" cm="1">
        <f t="array" ref="F8">SUM(F6:F7)</f>
        <v>10300</v>
      </c>
      <c r="G8" cm="1">
        <f t="array" ref="G8">SUM(G6:G7)</f>
        <v>10300</v>
      </c>
      <c r="H8" cm="1">
        <f t="array" ref="H8">SUM(H6:H7)</f>
        <v>10900</v>
      </c>
      <c r="I8" s="1" cm="1">
        <f t="array" ref="I8">SUM(F8:H8)</f>
        <v>31500</v>
      </c>
      <c r="J8" s="1" cm="1">
        <f t="array" ref="J8">E8+I8</f>
        <v>62700</v>
      </c>
    </row>
    <row r="9">
      <c r="A9" s="1" t="inlineStr">
        <is>
          <t>Total</t>
        </is>
      </c>
      <c r="B9" s="1" cm="1">
        <f t="array" ref="B9">B2+B5+B8</f>
        <v>11480</v>
      </c>
      <c r="C9" s="1" cm="1">
        <f t="array" ref="C9">C2+C5+C8</f>
        <v>11435</v>
      </c>
      <c r="D9" s="1" cm="1">
        <f t="array" ref="D9">D2+D5+D8</f>
        <v>12008</v>
      </c>
      <c r="E9" s="1" cm="1">
        <f t="array" ref="E9">SUM(B9:D9)</f>
        <v>34923</v>
      </c>
      <c r="F9" s="1" cm="1">
        <f t="array" ref="F9">F2+F5+F8</f>
        <v>11730</v>
      </c>
      <c r="G9" s="1" cm="1">
        <f t="array" ref="G9">G2+G5+G8</f>
        <v>11685</v>
      </c>
      <c r="H9" s="1" cm="1">
        <f t="array" ref="H9">H2+H5+H8</f>
        <v>12258</v>
      </c>
      <c r="I9" s="1" cm="1">
        <f t="array" ref="I9">SUM(F9:H9)</f>
        <v>35673</v>
      </c>
      <c r="J9" s="1" cm="1">
        <f t="array" ref="J9">E9+I9</f>
        <v>70596</v>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sheetPr>
    <outlinePr summaryBelow="false" summaryRight="false"/>
  </sheetPr>
  <dimension ref="A1"/>
  <sheetViews>
    <sheetView showGridLines="true" workbookViewId="0"/>
  </sheetViews>
  <sheetFormatPr outlineLevelRow="1" outlineLevelCol="1" defaultRowHeight="15"/>
  <cols>
    <col min="3" max="5" outlineLevel="1"/>
  </cols>
  <sheetData>
    <row r="1">
      <c r="A1" s="1" t="inlineStr">
        <is>
          <t>Team</t>
        </is>
      </c>
      <c r="B1" s="1" t="inlineStr">
        <is>
          <t>Total</t>
        </is>
      </c>
      <c r="C1" s="1" t="inlineStr">
        <is>
          <t>Mon</t>
        </is>
      </c>
      <c r="D1" s="1" t="inlineStr">
        <is>
          <t>Tue</t>
        </is>
      </c>
      <c r="E1" s="1" t="inlineStr">
        <is>
          <t>Wed</t>
        </is>
      </c>
    </row>
    <row r="2">
      <c r="A2" s="1" t="inlineStr">
        <is>
          <t>All teams</t>
        </is>
      </c>
      <c r="B2" s="1" cm="1">
        <f t="array" ref="B2">SUM(B3:B6)</f>
        <v>84</v>
      </c>
      <c r="C2" s="1" cm="1">
        <f t="array" ref="C2">SUM(C3:C6)</f>
        <v>24</v>
      </c>
      <c r="D2" s="1" cm="1">
        <f t="array" ref="D2">SUM(D3:D6)</f>
        <v>28</v>
      </c>
      <c r="E2" s="1" cm="1">
        <f t="array" ref="E2">SUM(E3:E6)</f>
        <v>32</v>
      </c>
    </row>
    <row r="3" outlineLevel="1">
      <c r="A3" t="inlineStr">
        <is>
          <t>Red</t>
        </is>
      </c>
      <c r="B3" cm="1">
        <f t="array" ref="B3">SUM(C3:E3)</f>
        <v>12</v>
      </c>
      <c r="C3">
        <v>3</v>
      </c>
      <c r="D3">
        <v>4</v>
      </c>
      <c r="E3">
        <v>5</v>
      </c>
    </row>
    <row r="4" outlineLevel="1">
      <c r="A4" t="inlineStr">
        <is>
          <t>Blue</t>
        </is>
      </c>
      <c r="B4" cm="1">
        <f t="array" ref="B4">SUM(C4:E4)</f>
        <v>18</v>
      </c>
      <c r="C4">
        <v>5</v>
      </c>
      <c r="D4">
        <v>6</v>
      </c>
      <c r="E4">
        <v>7</v>
      </c>
    </row>
    <row r="5" outlineLevel="1">
      <c r="A5" t="inlineStr">
        <is>
          <t>Green</t>
        </is>
      </c>
      <c r="B5" cm="1">
        <f t="array" ref="B5">SUM(C5:E5)</f>
        <v>24</v>
      </c>
      <c r="C5">
        <v>7</v>
      </c>
      <c r="D5">
        <v>8</v>
      </c>
      <c r="E5">
        <v>9</v>
      </c>
    </row>
    <row r="6" outlineLevel="1">
      <c r="A6" t="inlineStr">
        <is>
          <t>Gold</t>
        </is>
      </c>
      <c r="B6" cm="1">
        <f t="array" ref="B6">SUM(C6:E6)</f>
        <v>30</v>
      </c>
      <c r="C6">
        <v>9</v>
      </c>
      <c r="D6">
        <v>10</v>
      </c>
      <c r="E6">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