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metadata.xml" ContentType="application/vnd.openxmlformats-officedocument.spreadsheetml.sheetMetadata+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ngineering" sheetId="1" r:id="rId1"/>
  </sheets>
  <calcPr calcId="12221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name val="Calibri"/>
      <family val="2"/>
      <b val="1"/>
      <color rgb="FF000000"/>
      <sz val="1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ype="http://schemas.openxmlformats.org/officeDocument/2006/relationships/sheetMetadata" Target="metadata.xml"/></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showGridLines="true" tabSelected="true" workbookViewId="0">
      <pane activePane="bottomLeft" state="frozen" topLeftCell="A2" ySplit="1"/>
      <selection activeCell="A1" pane="bottomLeft" sqref="A1"/>
    </sheetView>
  </sheetViews>
  <sheetFormatPr defaultRowHeight="15"/>
  <cols>
    <col min="1" max="1" width="36" customWidth="1"/>
    <col min="2" max="2" width="44" customWidth="1"/>
    <col min="3" max="3" width="18" customWidth="1"/>
    <col min="5" max="5" width="18" customWidth="1"/>
  </cols>
  <sheetData>
    <row r="1">
      <c r="A1" s="1" t="inlineStr">
        <is>
          <t>Description</t>
        </is>
      </c>
      <c r="B1" s="1" t="inlineStr">
        <is>
          <t>Formula</t>
        </is>
      </c>
      <c r="C1" s="1" t="inlineStr">
        <is>
          <t>Result</t>
        </is>
      </c>
      <c r="E1" s="1" t="inlineStr">
        <is>
          <t>Expected</t>
        </is>
      </c>
    </row>
    <row r="2">
      <c r="A2" t="inlineStr">
        <is>
          <t>BIN2DEC</t>
        </is>
      </c>
      <c r="B2" t="inlineStr">
        <is>
          <t>=BIN2DEC(1100100)</t>
        </is>
      </c>
      <c r="C2" cm="1">
        <f t="array" ref="C2">BIN2DEC(1100100)</f>
        <v>100</v>
      </c>
      <c r="E2" t="inlineStr">
        <is>
          <t>100</t>
        </is>
      </c>
    </row>
    <row r="3">
      <c r="A3" t="inlineStr">
        <is>
          <t>BIN2DEC negative (two's complement)</t>
        </is>
      </c>
      <c r="B3" t="inlineStr">
        <is>
          <t>=BIN2DEC(1111111111)</t>
        </is>
      </c>
      <c r="C3" cm="1">
        <f t="array" ref="C3">BIN2DEC(1111111111)</f>
        <v>-1</v>
      </c>
      <c r="E3" t="inlineStr">
        <is>
          <t>-1</t>
        </is>
      </c>
    </row>
    <row r="4">
      <c r="A4" t="inlineStr">
        <is>
          <t>BIN2DEC smallest</t>
        </is>
      </c>
      <c r="B4" t="inlineStr">
        <is>
          <t>=BIN2DEC("1000000000")</t>
        </is>
      </c>
      <c r="C4" cm="1">
        <f t="array" ref="C4">BIN2DEC("1000000000")</f>
        <v>-512</v>
      </c>
      <c r="E4" t="inlineStr">
        <is>
          <t>-512</t>
        </is>
      </c>
    </row>
    <row r="5">
      <c r="A5" t="inlineStr">
        <is>
          <t>BIN2DEC invalid digit</t>
        </is>
      </c>
      <c r="B5" t="inlineStr">
        <is>
          <t>=BIN2DEC(102)</t>
        </is>
      </c>
      <c r="C5" t="e" cm="1">
        <f t="array" ref="C5">BIN2DEC(102)</f>
        <v>#NUM!</v>
      </c>
      <c r="E5" t="inlineStr">
        <is>
          <t>#NUM!</t>
        </is>
      </c>
    </row>
    <row r="6">
      <c r="A6" t="inlineStr">
        <is>
          <t>BIN2DEC 11 digits</t>
        </is>
      </c>
      <c r="B6" t="inlineStr">
        <is>
          <t>=BIN2DEC("10000000000")</t>
        </is>
      </c>
      <c r="C6" t="e" cm="1">
        <f t="array" ref="C6">BIN2DEC("10000000000")</f>
        <v>#NUM!</v>
      </c>
      <c r="E6" t="inlineStr">
        <is>
          <t>#NUM!</t>
        </is>
      </c>
    </row>
    <row r="7">
      <c r="A7" t="inlineStr">
        <is>
          <t>BIN2HEX with places</t>
        </is>
      </c>
      <c r="B7" t="inlineStr">
        <is>
          <t>=BIN2HEX(11111011,4)</t>
        </is>
      </c>
      <c r="C7" t="str" cm="1">
        <f t="array" ref="C7">BIN2HEX(11111011,4)</f>
        <v>00FB</v>
      </c>
      <c r="E7" t="inlineStr">
        <is>
          <t>00FB</t>
        </is>
      </c>
    </row>
    <row r="8">
      <c r="A8" t="inlineStr">
        <is>
          <t>BIN2HEX</t>
        </is>
      </c>
      <c r="B8" t="inlineStr">
        <is>
          <t>=BIN2HEX(1110)</t>
        </is>
      </c>
      <c r="C8" t="str" cm="1">
        <f t="array" ref="C8">BIN2HEX(1110)</f>
        <v>E</v>
      </c>
      <c r="E8" t="inlineStr">
        <is>
          <t>E</t>
        </is>
      </c>
    </row>
    <row r="9">
      <c r="A9" t="inlineStr">
        <is>
          <t>BIN2HEX negative</t>
        </is>
      </c>
      <c r="B9" t="inlineStr">
        <is>
          <t>=BIN2HEX(1111111111)</t>
        </is>
      </c>
      <c r="C9" t="str" cm="1">
        <f t="array" ref="C9">BIN2HEX(1111111111)</f>
        <v>FFFFFFFFFF</v>
      </c>
      <c r="E9" t="inlineStr">
        <is>
          <t>FFFFFFFFFF</t>
        </is>
      </c>
    </row>
    <row r="10">
      <c r="A10" t="inlineStr">
        <is>
          <t>BIN2OCT with places</t>
        </is>
      </c>
      <c r="B10" t="inlineStr">
        <is>
          <t>=BIN2OCT(1001,3)</t>
        </is>
      </c>
      <c r="C10" t="str" cm="1">
        <f t="array" ref="C10">BIN2OCT(1001,3)</f>
        <v>011</v>
      </c>
      <c r="E10" t="inlineStr">
        <is>
          <t>011</t>
        </is>
      </c>
    </row>
    <row r="11">
      <c r="A11" t="inlineStr">
        <is>
          <t>BIN2OCT</t>
        </is>
      </c>
      <c r="B11" t="inlineStr">
        <is>
          <t>=BIN2OCT(1100100)</t>
        </is>
      </c>
      <c r="C11" t="str" cm="1">
        <f t="array" ref="C11">BIN2OCT(1100100)</f>
        <v>144</v>
      </c>
      <c r="E11" t="inlineStr">
        <is>
          <t>144</t>
        </is>
      </c>
    </row>
    <row r="12">
      <c r="A12" t="inlineStr">
        <is>
          <t>BIN2OCT negative</t>
        </is>
      </c>
      <c r="B12" t="inlineStr">
        <is>
          <t>=BIN2OCT(1111111111)</t>
        </is>
      </c>
      <c r="C12" t="str" cm="1">
        <f t="array" ref="C12">BIN2OCT(1111111111)</f>
        <v>7777777777</v>
      </c>
      <c r="E12" t="inlineStr">
        <is>
          <t>7777777777</t>
        </is>
      </c>
    </row>
    <row r="13">
      <c r="A13" t="inlineStr">
        <is>
          <t>DEC2BIN with places</t>
        </is>
      </c>
      <c r="B13" t="inlineStr">
        <is>
          <t>=DEC2BIN(9,4)</t>
        </is>
      </c>
      <c r="C13" t="str" cm="1">
        <f t="array" ref="C13">DEC2BIN(9,4)</f>
        <v>1001</v>
      </c>
      <c r="E13" t="inlineStr">
        <is>
          <t>1001</t>
        </is>
      </c>
    </row>
    <row r="14">
      <c r="A14" t="inlineStr">
        <is>
          <t>DEC2BIN negative</t>
        </is>
      </c>
      <c r="B14" t="inlineStr">
        <is>
          <t>=DEC2BIN(-100)</t>
        </is>
      </c>
      <c r="C14" t="str" cm="1">
        <f t="array" ref="C14">DEC2BIN(-100)</f>
        <v>1110011100</v>
      </c>
      <c r="E14" t="inlineStr">
        <is>
          <t>1110011100</t>
        </is>
      </c>
    </row>
    <row r="15">
      <c r="A15" t="inlineStr">
        <is>
          <t>DEC2BIN largest</t>
        </is>
      </c>
      <c r="B15" t="inlineStr">
        <is>
          <t>=DEC2BIN(511)</t>
        </is>
      </c>
      <c r="C15" t="str" cm="1">
        <f t="array" ref="C15">DEC2BIN(511)</f>
        <v>111111111</v>
      </c>
      <c r="E15" t="inlineStr">
        <is>
          <t>111111111</t>
        </is>
      </c>
    </row>
    <row r="16">
      <c r="A16" t="inlineStr">
        <is>
          <t>DEC2BIN out of range</t>
        </is>
      </c>
      <c r="B16" t="inlineStr">
        <is>
          <t>=DEC2BIN(512)</t>
        </is>
      </c>
      <c r="C16" t="e" cm="1">
        <f t="array" ref="C16">DEC2BIN(512)</f>
        <v>#NUM!</v>
      </c>
      <c r="E16" t="inlineStr">
        <is>
          <t>#NUM!</t>
        </is>
      </c>
    </row>
    <row r="17">
      <c r="A17" t="inlineStr">
        <is>
          <t>DEC2BIN fraction truncated</t>
        </is>
      </c>
      <c r="B17" t="inlineStr">
        <is>
          <t>=DEC2BIN(9.9)</t>
        </is>
      </c>
      <c r="C17" t="str" cm="1">
        <f t="array" ref="C17">DEC2BIN(9.9)</f>
        <v>1001</v>
      </c>
      <c r="E17" t="inlineStr">
        <is>
          <t>1001</t>
        </is>
      </c>
    </row>
    <row r="18">
      <c r="A18" t="inlineStr">
        <is>
          <t>DEC2BIN too few places</t>
        </is>
      </c>
      <c r="B18" t="inlineStr">
        <is>
          <t>=DEC2BIN(9,3)</t>
        </is>
      </c>
      <c r="C18" t="e" cm="1">
        <f t="array" ref="C18">DEC2BIN(9,3)</f>
        <v>#NUM!</v>
      </c>
      <c r="E18" t="inlineStr">
        <is>
          <t>#NUM!</t>
        </is>
      </c>
    </row>
    <row r="19">
      <c r="A19" t="inlineStr">
        <is>
          <t>DEC2BIN negative places</t>
        </is>
      </c>
      <c r="B19" t="inlineStr">
        <is>
          <t>=DEC2BIN(9,-1)</t>
        </is>
      </c>
      <c r="C19" t="e" cm="1">
        <f t="array" ref="C19">DEC2BIN(9,-1)</f>
        <v>#NUM!</v>
      </c>
      <c r="E19" t="inlineStr">
        <is>
          <t>#NUM!</t>
        </is>
      </c>
    </row>
    <row r="20">
      <c r="A20" t="inlineStr">
        <is>
          <t>DEC2BIN text places</t>
        </is>
      </c>
      <c r="B20" t="inlineStr">
        <is>
          <t>=DEC2BIN(9,"x")</t>
        </is>
      </c>
      <c r="C20" t="e" cm="1">
        <f t="array" ref="C20">DEC2BIN(9,"x")</f>
        <v>#VALUE!</v>
      </c>
      <c r="E20" t="inlineStr">
        <is>
          <t>#VALUE!</t>
        </is>
      </c>
    </row>
    <row r="21">
      <c r="A21" t="inlineStr">
        <is>
          <t>DEC2BIN places ignored when negative</t>
        </is>
      </c>
      <c r="B21" t="inlineStr">
        <is>
          <t>=DEC2BIN(-1,2)</t>
        </is>
      </c>
      <c r="C21" t="str" cm="1">
        <f t="array" ref="C21">DEC2BIN(-1,2)</f>
        <v>1111111111</v>
      </c>
      <c r="E21" t="inlineStr">
        <is>
          <t>1111111111</t>
        </is>
      </c>
    </row>
    <row r="22">
      <c r="A22" t="inlineStr">
        <is>
          <t>DEC2HEX with places</t>
        </is>
      </c>
      <c r="B22" t="inlineStr">
        <is>
          <t>=DEC2HEX(100,4)</t>
        </is>
      </c>
      <c r="C22" t="str" cm="1">
        <f t="array" ref="C22">DEC2HEX(100,4)</f>
        <v>0064</v>
      </c>
      <c r="E22" t="inlineStr">
        <is>
          <t>0064</t>
        </is>
      </c>
    </row>
    <row r="23">
      <c r="A23" t="inlineStr">
        <is>
          <t>DEC2HEX negative</t>
        </is>
      </c>
      <c r="B23" t="inlineStr">
        <is>
          <t>=DEC2HEX(-54)</t>
        </is>
      </c>
      <c r="C23" t="str" cm="1">
        <f t="array" ref="C23">DEC2HEX(-54)</f>
        <v>FFFFFFFFCA</v>
      </c>
      <c r="E23" t="inlineStr">
        <is>
          <t>FFFFFFFFCA</t>
        </is>
      </c>
    </row>
    <row r="24">
      <c r="A24" t="inlineStr">
        <is>
          <t>DEC2HEX</t>
        </is>
      </c>
      <c r="B24" t="inlineStr">
        <is>
          <t>=DEC2HEX(28)</t>
        </is>
      </c>
      <c r="C24" t="str" cm="1">
        <f t="array" ref="C24">DEC2HEX(28)</f>
        <v>1C</v>
      </c>
      <c r="E24" t="inlineStr">
        <is>
          <t>1C</t>
        </is>
      </c>
    </row>
    <row r="25">
      <c r="A25" t="inlineStr">
        <is>
          <t>DEC2HEX too few places</t>
        </is>
      </c>
      <c r="B25" t="inlineStr">
        <is>
          <t>=DEC2HEX(64,1)</t>
        </is>
      </c>
      <c r="C25" t="e" cm="1">
        <f t="array" ref="C25">DEC2HEX(64,1)</f>
        <v>#NUM!</v>
      </c>
      <c r="E25" t="inlineStr">
        <is>
          <t>#NUM!</t>
        </is>
      </c>
    </row>
    <row r="26">
      <c r="A26" t="inlineStr">
        <is>
          <t>DEC2HEX smallest</t>
        </is>
      </c>
      <c r="B26" t="inlineStr">
        <is>
          <t>=DEC2HEX(-549755813888)</t>
        </is>
      </c>
      <c r="C26" t="str" cm="1">
        <f t="array" ref="C26">DEC2HEX(-549755813888)</f>
        <v>8000000000</v>
      </c>
      <c r="E26" t="inlineStr">
        <is>
          <t>8000000000</t>
        </is>
      </c>
    </row>
    <row r="27">
      <c r="A27" t="inlineStr">
        <is>
          <t>DEC2HEX out of range</t>
        </is>
      </c>
      <c r="B27" t="inlineStr">
        <is>
          <t>=DEC2HEX(549755813888)</t>
        </is>
      </c>
      <c r="C27" t="e" cm="1">
        <f t="array" ref="C27">DEC2HEX(549755813888)</f>
        <v>#NUM!</v>
      </c>
      <c r="E27" t="inlineStr">
        <is>
          <t>#NUM!</t>
        </is>
      </c>
    </row>
    <row r="28">
      <c r="A28" t="inlineStr">
        <is>
          <t>DEC2OCT with places</t>
        </is>
      </c>
      <c r="B28" t="inlineStr">
        <is>
          <t>=DEC2OCT(58,3)</t>
        </is>
      </c>
      <c r="C28" t="str" cm="1">
        <f t="array" ref="C28">DEC2OCT(58,3)</f>
        <v>072</v>
      </c>
      <c r="E28" t="inlineStr">
        <is>
          <t>072</t>
        </is>
      </c>
    </row>
    <row r="29">
      <c r="A29" t="inlineStr">
        <is>
          <t>DEC2OCT negative</t>
        </is>
      </c>
      <c r="B29" t="inlineStr">
        <is>
          <t>=DEC2OCT(-100)</t>
        </is>
      </c>
      <c r="C29" t="str" cm="1">
        <f t="array" ref="C29">DEC2OCT(-100)</f>
        <v>7777777634</v>
      </c>
      <c r="E29" t="inlineStr">
        <is>
          <t>7777777634</t>
        </is>
      </c>
    </row>
    <row r="30">
      <c r="A30" t="inlineStr">
        <is>
          <t>DEC2OCT largest</t>
        </is>
      </c>
      <c r="B30" t="inlineStr">
        <is>
          <t>=DEC2OCT(536870911)</t>
        </is>
      </c>
      <c r="C30" t="str" cm="1">
        <f t="array" ref="C30">DEC2OCT(536870911)</f>
        <v>3777777777</v>
      </c>
      <c r="E30" t="inlineStr">
        <is>
          <t>3777777777</t>
        </is>
      </c>
    </row>
    <row r="31">
      <c r="A31" t="inlineStr">
        <is>
          <t>DEC2OCT out of range</t>
        </is>
      </c>
      <c r="B31" t="inlineStr">
        <is>
          <t>=DEC2OCT(-536870913)</t>
        </is>
      </c>
      <c r="C31" t="e" cm="1">
        <f t="array" ref="C31">DEC2OCT(-536870913)</f>
        <v>#NUM!</v>
      </c>
      <c r="E31" t="inlineStr">
        <is>
          <t>#NUM!</t>
        </is>
      </c>
    </row>
    <row r="32">
      <c r="A32" t="inlineStr">
        <is>
          <t>HEX2BIN with places</t>
        </is>
      </c>
      <c r="B32" t="inlineStr">
        <is>
          <t>=HEX2BIN("F",8)</t>
        </is>
      </c>
      <c r="C32" t="str" cm="1">
        <f t="array" ref="C32">HEX2BIN("F",8)</f>
        <v>00001111</v>
      </c>
      <c r="E32" t="inlineStr">
        <is>
          <t>00001111</t>
        </is>
      </c>
    </row>
    <row r="33">
      <c r="A33" t="inlineStr">
        <is>
          <t>HEX2BIN</t>
        </is>
      </c>
      <c r="B33" t="inlineStr">
        <is>
          <t>=HEX2BIN("B7")</t>
        </is>
      </c>
      <c r="C33" t="str" cm="1">
        <f t="array" ref="C33">HEX2BIN("B7")</f>
        <v>10110111</v>
      </c>
      <c r="E33" t="inlineStr">
        <is>
          <t>10110111</t>
        </is>
      </c>
    </row>
    <row r="34">
      <c r="A34" t="inlineStr">
        <is>
          <t>HEX2BIN negative</t>
        </is>
      </c>
      <c r="B34" t="inlineStr">
        <is>
          <t>=HEX2BIN("FFFFFFFE00")</t>
        </is>
      </c>
      <c r="C34" t="str" cm="1">
        <f t="array" ref="C34">HEX2BIN("FFFFFFFE00")</f>
        <v>1000000000</v>
      </c>
      <c r="E34" t="inlineStr">
        <is>
          <t>1000000000</t>
        </is>
      </c>
    </row>
    <row r="35">
      <c r="A35" t="inlineStr">
        <is>
          <t>HEX2BIN out of binary range</t>
        </is>
      </c>
      <c r="B35" t="inlineStr">
        <is>
          <t>=HEX2BIN("200")</t>
        </is>
      </c>
      <c r="C35" t="e" cm="1">
        <f t="array" ref="C35">HEX2BIN("200")</f>
        <v>#NUM!</v>
      </c>
      <c r="E35" t="inlineStr">
        <is>
          <t>#NUM!</t>
        </is>
      </c>
    </row>
    <row r="36">
      <c r="A36" t="inlineStr">
        <is>
          <t>HEX2DEC</t>
        </is>
      </c>
      <c r="B36" t="inlineStr">
        <is>
          <t>=HEX2DEC("A5")</t>
        </is>
      </c>
      <c r="C36" cm="1">
        <f t="array" ref="C36">HEX2DEC("A5")</f>
        <v>165</v>
      </c>
      <c r="E36" t="inlineStr">
        <is>
          <t>165</t>
        </is>
      </c>
    </row>
    <row r="37">
      <c r="A37" t="inlineStr">
        <is>
          <t>HEX2DEC negative</t>
        </is>
      </c>
      <c r="B37" t="inlineStr">
        <is>
          <t>=HEX2DEC("FFFFFFFF5B")</t>
        </is>
      </c>
      <c r="C37" cm="1">
        <f t="array" ref="C37">HEX2DEC("FFFFFFFF5B")</f>
        <v>-165</v>
      </c>
      <c r="E37" t="inlineStr">
        <is>
          <t>-165</t>
        </is>
      </c>
    </row>
    <row r="38">
      <c r="A38" t="inlineStr">
        <is>
          <t>HEX2DEC</t>
        </is>
      </c>
      <c r="B38" t="inlineStr">
        <is>
          <t>=HEX2DEC("3DA408B9")</t>
        </is>
      </c>
      <c r="C38" cm="1">
        <f t="array" ref="C38">HEX2DEC("3DA408B9")</f>
        <v>1.034160313e+09</v>
      </c>
      <c r="E38" t="inlineStr">
        <is>
          <t>1034160313</t>
        </is>
      </c>
    </row>
    <row r="39">
      <c r="A39" t="inlineStr">
        <is>
          <t>HEX2DEC lower case</t>
        </is>
      </c>
      <c r="B39" t="inlineStr">
        <is>
          <t>=HEX2DEC("ff")</t>
        </is>
      </c>
      <c r="C39" cm="1">
        <f t="array" ref="C39">HEX2DEC("ff")</f>
        <v>255</v>
      </c>
      <c r="E39" t="inlineStr">
        <is>
          <t>255</t>
        </is>
      </c>
    </row>
    <row r="40">
      <c r="A40" t="inlineStr">
        <is>
          <t>HEX2DEC invalid digit</t>
        </is>
      </c>
      <c r="B40" t="inlineStr">
        <is>
          <t>=HEX2DEC("G1")</t>
        </is>
      </c>
      <c r="C40" t="e" cm="1">
        <f t="array" ref="C40">HEX2DEC("G1")</f>
        <v>#NUM!</v>
      </c>
      <c r="E40" t="inlineStr">
        <is>
          <t>#NUM!</t>
        </is>
      </c>
    </row>
    <row r="41">
      <c r="A41" t="inlineStr">
        <is>
          <t>HEX2OCT with places</t>
        </is>
      </c>
      <c r="B41" t="inlineStr">
        <is>
          <t>=HEX2OCT("F",3)</t>
        </is>
      </c>
      <c r="C41" t="str" cm="1">
        <f t="array" ref="C41">HEX2OCT("F",3)</f>
        <v>017</v>
      </c>
      <c r="E41" t="inlineStr">
        <is>
          <t>017</t>
        </is>
      </c>
    </row>
    <row r="42">
      <c r="A42" t="inlineStr">
        <is>
          <t>HEX2OCT</t>
        </is>
      </c>
      <c r="B42" t="inlineStr">
        <is>
          <t>=HEX2OCT("3B4E")</t>
        </is>
      </c>
      <c r="C42" t="str" cm="1">
        <f t="array" ref="C42">HEX2OCT("3B4E")</f>
        <v>35516</v>
      </c>
      <c r="E42" t="inlineStr">
        <is>
          <t>35516</t>
        </is>
      </c>
    </row>
    <row r="43">
      <c r="A43" t="inlineStr">
        <is>
          <t>HEX2OCT negative</t>
        </is>
      </c>
      <c r="B43" t="inlineStr">
        <is>
          <t>=HEX2OCT("FFFFFFFF00")</t>
        </is>
      </c>
      <c r="C43" t="str" cm="1">
        <f t="array" ref="C43">HEX2OCT("FFFFFFFF00")</f>
        <v>7777777400</v>
      </c>
      <c r="E43" t="inlineStr">
        <is>
          <t>7777777400</t>
        </is>
      </c>
    </row>
    <row r="44">
      <c r="A44" t="inlineStr">
        <is>
          <t>OCT2BIN with places</t>
        </is>
      </c>
      <c r="B44" t="inlineStr">
        <is>
          <t>=OCT2BIN(3,3)</t>
        </is>
      </c>
      <c r="C44" t="str" cm="1">
        <f t="array" ref="C44">OCT2BIN(3,3)</f>
        <v>011</v>
      </c>
      <c r="E44" t="inlineStr">
        <is>
          <t>011</t>
        </is>
      </c>
    </row>
    <row r="45">
      <c r="A45" t="inlineStr">
        <is>
          <t>OCT2BIN negative</t>
        </is>
      </c>
      <c r="B45" t="inlineStr">
        <is>
          <t>=OCT2BIN(7777777000)</t>
        </is>
      </c>
      <c r="C45" t="str" cm="1">
        <f t="array" ref="C45">OCT2BIN(7777777000)</f>
        <v>1000000000</v>
      </c>
      <c r="E45" t="inlineStr">
        <is>
          <t>1000000000</t>
        </is>
      </c>
    </row>
    <row r="46">
      <c r="A46" t="inlineStr">
        <is>
          <t>OCT2DEC</t>
        </is>
      </c>
      <c r="B46" t="inlineStr">
        <is>
          <t>=OCT2DEC(54)</t>
        </is>
      </c>
      <c r="C46" cm="1">
        <f t="array" ref="C46">OCT2DEC(54)</f>
        <v>44</v>
      </c>
      <c r="E46" t="inlineStr">
        <is>
          <t>44</t>
        </is>
      </c>
    </row>
    <row r="47">
      <c r="A47" t="inlineStr">
        <is>
          <t>OCT2DEC negative</t>
        </is>
      </c>
      <c r="B47" t="inlineStr">
        <is>
          <t>=OCT2DEC(7777777533)</t>
        </is>
      </c>
      <c r="C47" cm="1">
        <f t="array" ref="C47">OCT2DEC(7777777533)</f>
        <v>-165</v>
      </c>
      <c r="E47" t="inlineStr">
        <is>
          <t>-165</t>
        </is>
      </c>
    </row>
    <row r="48">
      <c r="A48" t="inlineStr">
        <is>
          <t>OCT2DEC invalid digit</t>
        </is>
      </c>
      <c r="B48" t="inlineStr">
        <is>
          <t>=OCT2DEC(8)</t>
        </is>
      </c>
      <c r="C48" t="e" cm="1">
        <f t="array" ref="C48">OCT2DEC(8)</f>
        <v>#NUM!</v>
      </c>
      <c r="E48" t="inlineStr">
        <is>
          <t>#NUM!</t>
        </is>
      </c>
    </row>
    <row r="49">
      <c r="A49" t="inlineStr">
        <is>
          <t>OCT2HEX with places</t>
        </is>
      </c>
      <c r="B49" t="inlineStr">
        <is>
          <t>=OCT2HEX(100,4)</t>
        </is>
      </c>
      <c r="C49" t="str" cm="1">
        <f t="array" ref="C49">OCT2HEX(100,4)</f>
        <v>0040</v>
      </c>
      <c r="E49" t="inlineStr">
        <is>
          <t>0040</t>
        </is>
      </c>
    </row>
    <row r="50">
      <c r="A50" t="inlineStr">
        <is>
          <t>OCT2HEX negative</t>
        </is>
      </c>
      <c r="B50" t="inlineStr">
        <is>
          <t>=OCT2HEX(7777777533)</t>
        </is>
      </c>
      <c r="C50" t="str" cm="1">
        <f t="array" ref="C50">OCT2HEX(7777777533)</f>
        <v>FFFFFFFF5B</v>
      </c>
      <c r="E50" t="inlineStr">
        <is>
          <t>FFFFFFFF5B</t>
        </is>
      </c>
    </row>
    <row r="51">
      <c r="A51" t="inlineStr">
        <is>
          <t>CONVERT pound mass to kilograms</t>
        </is>
      </c>
      <c r="B51" t="inlineStr">
        <is>
          <t>=CONVERT(1,"lbm","kg")</t>
        </is>
      </c>
      <c r="C51" cm="1">
        <f t="array" ref="C51">CONVERT(1,"lbm","kg")</f>
        <v>0.45359237</v>
      </c>
      <c r="E51" t="inlineStr">
        <is>
          <t>0.45359237</t>
        </is>
      </c>
    </row>
    <row r="52">
      <c r="A52" t="inlineStr">
        <is>
          <t>CONVERT 68 F to C</t>
        </is>
      </c>
      <c r="B52" t="inlineStr">
        <is>
          <t>=CONVERT(68,"F","C")</t>
        </is>
      </c>
      <c r="C52" cm="1">
        <f t="array" ref="C52">CONVERT(68,"F","C")</f>
        <v>20</v>
      </c>
      <c r="E52" t="inlineStr">
        <is>
          <t>20</t>
        </is>
      </c>
    </row>
    <row r="53">
      <c r="A53" t="inlineStr">
        <is>
          <t>CONVERT different classes</t>
        </is>
      </c>
      <c r="B53" t="inlineStr">
        <is>
          <t>=CONVERT(2.5,"ft","sec")</t>
        </is>
      </c>
      <c r="C53" t="e" cm="1">
        <f t="array" ref="C53">CONVERT(2.5,"ft","sec")</f>
        <v>#N/A</v>
      </c>
      <c r="E53" t="inlineStr">
        <is>
          <t>#N/A</t>
        </is>
      </c>
    </row>
    <row r="54">
      <c r="A54" t="inlineStr">
        <is>
          <t>CONVERT nested: 100 sq ft to sq m</t>
        </is>
      </c>
      <c r="B54" t="inlineStr">
        <is>
          <t>=CONVERT(CONVERT(100,"ft","m"),"ft","m")</t>
        </is>
      </c>
      <c r="C54" cm="1">
        <f t="array" ref="C54">CONVERT(CONVERT(100,"ft","m"),"ft","m")</f>
        <v>9.290304</v>
      </c>
      <c r="E54" t="inlineStr">
        <is>
          <t>9.290304</t>
        </is>
      </c>
    </row>
    <row r="55">
      <c r="A55" t="inlineStr">
        <is>
          <t>CONVERT 6 C to F</t>
        </is>
      </c>
      <c r="B55" t="inlineStr">
        <is>
          <t>=CONVERT(6,"C","F")</t>
        </is>
      </c>
      <c r="C55" cm="1">
        <f t="array" ref="C55">CONVERT(6,"C","F")</f>
        <v>42.8</v>
      </c>
      <c r="E55" t="inlineStr">
        <is>
          <t>42.8</t>
        </is>
      </c>
    </row>
    <row r="56">
      <c r="A56" t="inlineStr">
        <is>
          <t>CONVERT 6 tsp to tbs</t>
        </is>
      </c>
      <c r="B56" t="inlineStr">
        <is>
          <t>=CONVERT(6,"tsp","tbs")</t>
        </is>
      </c>
      <c r="C56" cm="1">
        <f t="array" ref="C56">CONVERT(6,"tsp","tbs")</f>
        <v>1.9999999999999998</v>
      </c>
      <c r="E56" t="inlineStr">
        <is>
          <t>2</t>
        </is>
      </c>
    </row>
    <row r="57">
      <c r="A57" t="inlineStr">
        <is>
          <t>CONVERT 6 gal to l</t>
        </is>
      </c>
      <c r="B57" t="inlineStr">
        <is>
          <t>=CONVERT(6,"gal","l")</t>
        </is>
      </c>
      <c r="C57" cm="1">
        <f t="array" ref="C57">CONVERT(6,"gal","l")</f>
        <v>22.712470704</v>
      </c>
      <c r="E57" t="inlineStr">
        <is>
          <t>22.712470704</t>
        </is>
      </c>
    </row>
    <row r="58">
      <c r="A58" t="inlineStr">
        <is>
          <t>CONVERT 6 mi to km</t>
        </is>
      </c>
      <c r="B58" t="inlineStr">
        <is>
          <t>=CONVERT(6,"mi","km")</t>
        </is>
      </c>
      <c r="C58" cm="1">
        <f t="array" ref="C58">CONVERT(6,"mi","km")</f>
        <v>9.656064</v>
      </c>
      <c r="E58" t="inlineStr">
        <is>
          <t>9.656064</t>
        </is>
      </c>
    </row>
    <row r="59">
      <c r="A59" t="inlineStr">
        <is>
          <t>CONVERT 6 km to mi</t>
        </is>
      </c>
      <c r="B59" t="inlineStr">
        <is>
          <t>=CONVERT(6,"km","mi")</t>
        </is>
      </c>
      <c r="C59" cm="1">
        <f t="array" ref="C59">CONVERT(6,"km","mi")</f>
        <v>3.7282271534240037</v>
      </c>
      <c r="E59" t="inlineStr">
        <is>
          <t>3.72822715342400</t>
        </is>
      </c>
    </row>
    <row r="60">
      <c r="A60" t="inlineStr">
        <is>
          <t>CONVERT 6 in to ft</t>
        </is>
      </c>
      <c r="B60" t="inlineStr">
        <is>
          <t>=CONVERT(6,"in","ft")</t>
        </is>
      </c>
      <c r="C60" cm="1">
        <f t="array" ref="C60">CONVERT(6,"in","ft")</f>
        <v>0.4999999999999999</v>
      </c>
      <c r="E60" t="inlineStr">
        <is>
          <t>0.5</t>
        </is>
      </c>
    </row>
    <row r="61">
      <c r="A61" t="inlineStr">
        <is>
          <t>CONVERT 6 cm to in</t>
        </is>
      </c>
      <c r="B61" t="inlineStr">
        <is>
          <t>=CONVERT(6,"cm","in")</t>
        </is>
      </c>
      <c r="C61" cm="1">
        <f t="array" ref="C61">CONVERT(6,"cm","in")</f>
        <v>2.362204724409449</v>
      </c>
      <c r="E61" t="inlineStr">
        <is>
          <t>2.36220472440945</t>
        </is>
      </c>
    </row>
    <row r="62">
      <c r="A62" t="inlineStr">
        <is>
          <t>CONVERT stone to pounds</t>
        </is>
      </c>
      <c r="B62" t="inlineStr">
        <is>
          <t>=CONVERT(1,"stone","lbm")</t>
        </is>
      </c>
      <c r="C62" cm="1">
        <f t="array" ref="C62">CONVERT(1,"stone","lbm")</f>
        <v>13.999999999999998</v>
      </c>
      <c r="E62" t="inlineStr">
        <is>
          <t>14</t>
        </is>
      </c>
    </row>
    <row r="63">
      <c r="A63" t="inlineStr">
        <is>
          <t>CONVERT ton to kg</t>
        </is>
      </c>
      <c r="B63" t="inlineStr">
        <is>
          <t>=CONVERT(1,"ton","kg")</t>
        </is>
      </c>
      <c r="C63" cm="1">
        <f t="array" ref="C63">CONVERT(1,"ton","kg")</f>
        <v>907.18474</v>
      </c>
      <c r="E63" t="inlineStr">
        <is>
          <t>907.18474</t>
        </is>
      </c>
    </row>
    <row r="64">
      <c r="A64" t="inlineStr">
        <is>
          <t>CONVERT nautical mile to m</t>
        </is>
      </c>
      <c r="B64" t="inlineStr">
        <is>
          <t>=CONVERT(1,"Nmi","m")</t>
        </is>
      </c>
      <c r="C64" cm="1">
        <f t="array" ref="C64">CONVERT(1,"Nmi","m")</f>
        <v>1852</v>
      </c>
      <c r="E64" t="inlineStr">
        <is>
          <t>1852</t>
        </is>
      </c>
    </row>
    <row r="65">
      <c r="A65" t="inlineStr">
        <is>
          <t>CONVERT light-year to m</t>
        </is>
      </c>
      <c r="B65" t="inlineStr">
        <is>
          <t>=CONVERT(1,"ly","m")</t>
        </is>
      </c>
      <c r="C65" cm="1">
        <f t="array" ref="C65">CONVERT(1,"ly","m")</f>
        <v>9.4607304725808e+15</v>
      </c>
      <c r="E65" t="inlineStr">
        <is>
          <t>9460730472580800</t>
        </is>
      </c>
    </row>
    <row r="66">
      <c r="A66" t="inlineStr">
        <is>
          <t>CONVERT 72 points to inches</t>
        </is>
      </c>
      <c r="B66" t="inlineStr">
        <is>
          <t>=CONVERT(72,"Picapt","in")</t>
        </is>
      </c>
      <c r="C66" cm="1">
        <f t="array" ref="C66">CONVERT(72,"Picapt","in")</f>
        <v>1</v>
      </c>
      <c r="E66" t="inlineStr">
        <is>
          <t>1</t>
        </is>
      </c>
    </row>
    <row r="67">
      <c r="A67" t="inlineStr">
        <is>
          <t>CONVERT year to days</t>
        </is>
      </c>
      <c r="B67" t="inlineStr">
        <is>
          <t>=CONVERT(1,"yr","day")</t>
        </is>
      </c>
      <c r="C67" cm="1">
        <f t="array" ref="C67">CONVERT(1,"yr","day")</f>
        <v>365.25</v>
      </c>
      <c r="E67" t="inlineStr">
        <is>
          <t>365.25</t>
        </is>
      </c>
    </row>
    <row r="68">
      <c r="A68" t="inlineStr">
        <is>
          <t>CONVERT atm to mmHg</t>
        </is>
      </c>
      <c r="B68" t="inlineStr">
        <is>
          <t>=CONVERT(1,"atm","mmHg")</t>
        </is>
      </c>
      <c r="C68" cm="1">
        <f t="array" ref="C68">CONVERT(1,"atm","mmHg")</f>
        <v>760</v>
      </c>
      <c r="E68" t="inlineStr">
        <is>
          <t>760</t>
        </is>
      </c>
    </row>
    <row r="69">
      <c r="A69" t="inlineStr">
        <is>
          <t>CONVERT psi to kPa</t>
        </is>
      </c>
      <c r="B69" t="inlineStr">
        <is>
          <t>=CONVERT(1,"psi","kPa")</t>
        </is>
      </c>
      <c r="C69" cm="1">
        <f t="array" ref="C69">CONVERT(1,"psi","kPa")</f>
        <v>6.894757293168362</v>
      </c>
      <c r="E69" t="inlineStr">
        <is>
          <t>6.89475729316836</t>
        </is>
      </c>
    </row>
    <row r="70">
      <c r="A70" t="inlineStr">
        <is>
          <t>CONVERT lbf to N</t>
        </is>
      </c>
      <c r="B70" t="inlineStr">
        <is>
          <t>=CONVERT(1,"lbf","N")</t>
        </is>
      </c>
      <c r="C70" cm="1">
        <f t="array" ref="C70">CONVERT(1,"lbf","N")</f>
        <v>4.4482216152605</v>
      </c>
      <c r="E70" t="inlineStr">
        <is>
          <t>4.4482216152605</t>
        </is>
      </c>
    </row>
    <row r="71">
      <c r="A71" t="inlineStr">
        <is>
          <t>CONVERT N to dyn</t>
        </is>
      </c>
      <c r="B71" t="inlineStr">
        <is>
          <t>=CONVERT(1,"N","dyn")</t>
        </is>
      </c>
      <c r="C71" cm="1">
        <f t="array" ref="C71">CONVERT(1,"N","dyn")</f>
        <v>99999.99999999999</v>
      </c>
      <c r="E71" t="inlineStr">
        <is>
          <t>100000</t>
        </is>
      </c>
    </row>
    <row r="72">
      <c r="A72" t="inlineStr">
        <is>
          <t>CONVERT IT calorie to J</t>
        </is>
      </c>
      <c r="B72" t="inlineStr">
        <is>
          <t>=CONVERT(1,"cal","J")</t>
        </is>
      </c>
      <c r="C72" cm="1">
        <f t="array" ref="C72">CONVERT(1,"cal","J")</f>
        <v>4.1868</v>
      </c>
      <c r="E72" t="inlineStr">
        <is>
          <t>4.1868</t>
        </is>
      </c>
    </row>
    <row r="73">
      <c r="A73" t="inlineStr">
        <is>
          <t>CONVERT kWh to J</t>
        </is>
      </c>
      <c r="B73" t="inlineStr">
        <is>
          <t>=CONVERT(1,"kWh","J")</t>
        </is>
      </c>
      <c r="C73" cm="1">
        <f t="array" ref="C73">CONVERT(1,"kWh","J")</f>
        <v>3.6e+06</v>
      </c>
      <c r="E73" t="inlineStr">
        <is>
          <t>3600000</t>
        </is>
      </c>
    </row>
    <row r="74">
      <c r="A74" t="inlineStr">
        <is>
          <t>CONVERT BTU to J</t>
        </is>
      </c>
      <c r="B74" t="inlineStr">
        <is>
          <t>=CONVERT(1,"BTU","J")</t>
        </is>
      </c>
      <c r="C74" cm="1">
        <f t="array" ref="C74">CONVERT(1,"BTU","J")</f>
        <v>1055.05585262</v>
      </c>
      <c r="E74" t="inlineStr">
        <is>
          <t>1055.05585262</t>
        </is>
      </c>
    </row>
    <row r="75">
      <c r="A75" t="inlineStr">
        <is>
          <t>CONVERT horsepower to W</t>
        </is>
      </c>
      <c r="B75" t="inlineStr">
        <is>
          <t>=CONVERT(1,"HP","W")</t>
        </is>
      </c>
      <c r="C75" cm="1">
        <f t="array" ref="C75">CONVERT(1,"HP","W")</f>
        <v>745.6998715822702</v>
      </c>
      <c r="E75" t="inlineStr">
        <is>
          <t>745.69987158227</t>
        </is>
      </c>
    </row>
    <row r="76">
      <c r="A76" t="inlineStr">
        <is>
          <t>CONVERT PS to W</t>
        </is>
      </c>
      <c r="B76" t="inlineStr">
        <is>
          <t>=CONVERT(1,"PS","W")</t>
        </is>
      </c>
      <c r="C76" cm="1">
        <f t="array" ref="C76">CONVERT(1,"PS","W")</f>
        <v>735.49875</v>
      </c>
      <c r="E76" t="inlineStr">
        <is>
          <t>735.49875</t>
        </is>
      </c>
    </row>
    <row r="77">
      <c r="A77" t="inlineStr">
        <is>
          <t>CONVERT tesla to gauss</t>
        </is>
      </c>
      <c r="B77" t="inlineStr">
        <is>
          <t>=CONVERT(1,"T","ga")</t>
        </is>
      </c>
      <c r="C77" cm="1">
        <f t="array" ref="C77">CONVERT(1,"T","ga")</f>
        <v>10000</v>
      </c>
      <c r="E77" t="inlineStr">
        <is>
          <t>10000</t>
        </is>
      </c>
    </row>
    <row r="78">
      <c r="A78" t="inlineStr">
        <is>
          <t>CONVERT 0 C to K</t>
        </is>
      </c>
      <c r="B78" t="inlineStr">
        <is>
          <t>=CONVERT(0,"C","K")</t>
        </is>
      </c>
      <c r="C78" cm="1">
        <f t="array" ref="C78">CONVERT(0,"C","K")</f>
        <v>273.15</v>
      </c>
      <c r="E78" t="inlineStr">
        <is>
          <t>273.15</t>
        </is>
      </c>
    </row>
    <row r="79">
      <c r="A79" t="inlineStr">
        <is>
          <t>CONVERT 100 K to Rankine</t>
        </is>
      </c>
      <c r="B79" t="inlineStr">
        <is>
          <t>=CONVERT(100,"K","Rank")</t>
        </is>
      </c>
      <c r="C79" cm="1">
        <f t="array" ref="C79">CONVERT(100,"K","Rank")</f>
        <v>180</v>
      </c>
      <c r="E79" t="inlineStr">
        <is>
          <t>180</t>
        </is>
      </c>
    </row>
    <row r="80">
      <c r="A80" t="inlineStr">
        <is>
          <t>CONVERT 80 Reaumur to C</t>
        </is>
      </c>
      <c r="B80" t="inlineStr">
        <is>
          <t>=CONVERT(80,"Reau","C")</t>
        </is>
      </c>
      <c r="C80" cm="1">
        <f t="array" ref="C80">CONVERT(80,"Reau","C")</f>
        <v>100</v>
      </c>
      <c r="E80" t="inlineStr">
        <is>
          <t>100</t>
        </is>
      </c>
    </row>
    <row r="81">
      <c r="A81" t="inlineStr">
        <is>
          <t>CONVERT 32 fah to cel</t>
        </is>
      </c>
      <c r="B81" t="inlineStr">
        <is>
          <t>=CONVERT(32,"fah","cel")</t>
        </is>
      </c>
      <c r="C81" cm="1">
        <f t="array" ref="C81">CONVERT(32,"fah","cel")</f>
        <v>0</v>
      </c>
      <c r="E81" t="inlineStr">
        <is>
          <t>0</t>
        </is>
      </c>
    </row>
    <row r="82">
      <c r="A82" t="inlineStr">
        <is>
          <t>CONVERT millikelvin to K</t>
        </is>
      </c>
      <c r="B82" t="inlineStr">
        <is>
          <t>=CONVERT(1000,"mK","K")</t>
        </is>
      </c>
      <c r="C82" cm="1">
        <f t="array" ref="C82">CONVERT(1000,"mK","K")</f>
        <v>1</v>
      </c>
      <c r="E82" t="inlineStr">
        <is>
          <t>1</t>
        </is>
      </c>
    </row>
    <row r="83">
      <c r="A83" t="inlineStr">
        <is>
          <t>CONVERT gallon to quarts</t>
        </is>
      </c>
      <c r="B83" t="inlineStr">
        <is>
          <t>=CONVERT(1,"gal","qt")</t>
        </is>
      </c>
      <c r="C83" cm="1">
        <f t="array" ref="C83">CONVERT(1,"gal","qt")</f>
        <v>4</v>
      </c>
      <c r="E83" t="inlineStr">
        <is>
          <t>4</t>
        </is>
      </c>
    </row>
    <row r="84">
      <c r="A84" t="inlineStr">
        <is>
          <t>CONVERT imperial gallon to l</t>
        </is>
      </c>
      <c r="B84" t="inlineStr">
        <is>
          <t>=CONVERT(1,"uk_gal","l")</t>
        </is>
      </c>
      <c r="C84" cm="1">
        <f t="array" ref="C84">CONVERT(1,"uk_gal","l")</f>
        <v>4.5460899999999995</v>
      </c>
      <c r="E84" t="inlineStr">
        <is>
          <t>4.54609</t>
        </is>
      </c>
    </row>
    <row r="85">
      <c r="A85" t="inlineStr">
        <is>
          <t>CONVERT barrel to gallons</t>
        </is>
      </c>
      <c r="B85" t="inlineStr">
        <is>
          <t>=CONVERT(1,"barrel","gal")</t>
        </is>
      </c>
      <c r="C85" cm="1">
        <f t="array" ref="C85">CONVERT(1,"barrel","gal")</f>
        <v>42</v>
      </c>
      <c r="E85" t="inlineStr">
        <is>
          <t>42</t>
        </is>
      </c>
    </row>
    <row r="86">
      <c r="A86" t="inlineStr">
        <is>
          <t>CONVERT cubic foot to cubic inches</t>
        </is>
      </c>
      <c r="B86" t="inlineStr">
        <is>
          <t>=CONVERT(1,"ft3","in^3")</t>
        </is>
      </c>
      <c r="C86" cm="1">
        <f t="array" ref="C86">CONVERT(1,"ft3","in^3")</f>
        <v>1728.0000000000002</v>
      </c>
      <c r="E86" t="inlineStr">
        <is>
          <t>1728</t>
        </is>
      </c>
    </row>
    <row r="87">
      <c r="A87" t="inlineStr">
        <is>
          <t>CONVERT cm3 to m3</t>
        </is>
      </c>
      <c r="B87" t="inlineStr">
        <is>
          <t>=CONVERT(1,"cm3","m3")</t>
        </is>
      </c>
      <c r="C87" cm="1">
        <f t="array" ref="C87">CONVERT(1,"cm3","m3")</f>
        <v>1e-06</v>
      </c>
      <c r="E87" t="inlineStr">
        <is>
          <t>0.000001</t>
        </is>
      </c>
    </row>
    <row r="88">
      <c r="A88" t="inlineStr">
        <is>
          <t>CONVERT hectare to m2</t>
        </is>
      </c>
      <c r="B88" t="inlineStr">
        <is>
          <t>=CONVERT(1,"ha","m2")</t>
        </is>
      </c>
      <c r="C88" cm="1">
        <f t="array" ref="C88">CONVERT(1,"ha","m2")</f>
        <v>10000</v>
      </c>
      <c r="E88" t="inlineStr">
        <is>
          <t>10000</t>
        </is>
      </c>
    </row>
    <row r="89">
      <c r="A89" t="inlineStr">
        <is>
          <t>CONVERT international acre to sq ft</t>
        </is>
      </c>
      <c r="B89" t="inlineStr">
        <is>
          <t>=CONVERT(1,"uk_acre","ft2")</t>
        </is>
      </c>
      <c r="C89" cm="1">
        <f t="array" ref="C89">CONVERT(1,"uk_acre","ft2")</f>
        <v>43560</v>
      </c>
      <c r="E89" t="inlineStr">
        <is>
          <t>43560</t>
        </is>
      </c>
    </row>
    <row r="90">
      <c r="A90" t="inlineStr">
        <is>
          <t>CONVERT km^2 to m^2</t>
        </is>
      </c>
      <c r="B90" t="inlineStr">
        <is>
          <t>=CONVERT(1,"km^2","m^2")</t>
        </is>
      </c>
      <c r="C90" cm="1">
        <f t="array" ref="C90">CONVERT(1,"km^2","m^2")</f>
        <v>1e+06</v>
      </c>
      <c r="E90" t="inlineStr">
        <is>
          <t>1000000</t>
        </is>
      </c>
    </row>
    <row r="91">
      <c r="A91" t="inlineStr">
        <is>
          <t>CONVERT byte to bits</t>
        </is>
      </c>
      <c r="B91" t="inlineStr">
        <is>
          <t>=CONVERT(1,"byte","bit")</t>
        </is>
      </c>
      <c r="C91" cm="1">
        <f t="array" ref="C91">CONVERT(1,"byte","bit")</f>
        <v>8</v>
      </c>
      <c r="E91" t="inlineStr">
        <is>
          <t>8</t>
        </is>
      </c>
    </row>
    <row r="92">
      <c r="A92" t="inlineStr">
        <is>
          <t>CONVERT kibibyte to bytes</t>
        </is>
      </c>
      <c r="B92" t="inlineStr">
        <is>
          <t>=CONVERT(1,"kibyte","byte")</t>
        </is>
      </c>
      <c r="C92" cm="1">
        <f t="array" ref="C92">CONVERT(1,"kibyte","byte")</f>
        <v>1024</v>
      </c>
      <c r="E92" t="inlineStr">
        <is>
          <t>1024</t>
        </is>
      </c>
    </row>
    <row r="93">
      <c r="A93" t="inlineStr">
        <is>
          <t>CONVERT kilobyte to bytes</t>
        </is>
      </c>
      <c r="B93" t="inlineStr">
        <is>
          <t>=CONVERT(1,"kbyte","byte")</t>
        </is>
      </c>
      <c r="C93" cm="1">
        <f t="array" ref="C93">CONVERT(1,"kbyte","byte")</f>
        <v>1000</v>
      </c>
      <c r="E93" t="inlineStr">
        <is>
          <t>1000</t>
        </is>
      </c>
    </row>
    <row r="94">
      <c r="A94" t="inlineStr">
        <is>
          <t>CONVERT knot to m/h</t>
        </is>
      </c>
      <c r="B94" t="inlineStr">
        <is>
          <t>=CONVERT(1,"kn","m/h")</t>
        </is>
      </c>
      <c r="C94" cm="1">
        <f t="array" ref="C94">CONVERT(1,"kn","m/h")</f>
        <v>1852.0000000000002</v>
      </c>
      <c r="E94" t="inlineStr">
        <is>
          <t>1852</t>
        </is>
      </c>
    </row>
    <row r="95">
      <c r="A95" t="inlineStr">
        <is>
          <t>CONVERT 36 km/h to m/s</t>
        </is>
      </c>
      <c r="B95" t="inlineStr">
        <is>
          <t>=CONVERT(36,"km/h","m/s")</t>
        </is>
      </c>
      <c r="C95" cm="1">
        <f t="array" ref="C95">CONVERT(36,"km/h","m/s")</f>
        <v>10</v>
      </c>
      <c r="E95" t="inlineStr">
        <is>
          <t>10</t>
        </is>
      </c>
    </row>
    <row r="96">
      <c r="A96" t="inlineStr">
        <is>
          <t>CONVERT mph to km/hr</t>
        </is>
      </c>
      <c r="B96" t="inlineStr">
        <is>
          <t>=CONVERT(1,"mph","km/hr")</t>
        </is>
      </c>
      <c r="C96" cm="1">
        <f t="array" ref="C96">CONVERT(1,"mph","km/hr")</f>
        <v>1.609344</v>
      </c>
      <c r="E96" t="inlineStr">
        <is>
          <t>1.609344</t>
        </is>
      </c>
    </row>
    <row r="97">
      <c r="A97" t="inlineStr">
        <is>
          <t>CONVERT deka prefix da</t>
        </is>
      </c>
      <c r="B97" t="inlineStr">
        <is>
          <t>=CONVERT(1,"dam","m")</t>
        </is>
      </c>
      <c r="C97" cm="1">
        <f t="array" ref="C97">CONVERT(1,"dam","m")</f>
        <v>10</v>
      </c>
      <c r="E97" t="inlineStr">
        <is>
          <t>10</t>
        </is>
      </c>
    </row>
    <row r="98">
      <c r="A98" t="inlineStr">
        <is>
          <t>CONVERT deka prefix e</t>
        </is>
      </c>
      <c r="B98" t="inlineStr">
        <is>
          <t>=CONVERT(1,"em","m")</t>
        </is>
      </c>
      <c r="C98" cm="1">
        <f t="array" ref="C98">CONVERT(1,"em","m")</f>
        <v>10</v>
      </c>
      <c r="E98" t="inlineStr">
        <is>
          <t>10</t>
        </is>
      </c>
    </row>
    <row r="99">
      <c r="A99" t="inlineStr">
        <is>
          <t>CONVERT feet take no prefix</t>
        </is>
      </c>
      <c r="B99" t="inlineStr">
        <is>
          <t>=CONVERT(1,"kft","m")</t>
        </is>
      </c>
      <c r="C99" t="e" cm="1">
        <f t="array" ref="C99">CONVERT(1,"kft","m")</f>
        <v>#N/A</v>
      </c>
      <c r="E99" t="inlineStr">
        <is>
          <t>#N/A</t>
        </is>
      </c>
    </row>
    <row r="100">
      <c r="A100" t="inlineStr">
        <is>
          <t>CONVERT binary prefix on meters</t>
        </is>
      </c>
      <c r="B100" t="inlineStr">
        <is>
          <t>=CONVERT(1,"kim","m")</t>
        </is>
      </c>
      <c r="C100" t="e" cm="1">
        <f t="array" ref="C100">CONVERT(1,"kim","m")</f>
        <v>#N/A</v>
      </c>
      <c r="E100" t="inlineStr">
        <is>
          <t>#N/A</t>
        </is>
      </c>
    </row>
    <row r="101">
      <c r="A101" t="inlineStr">
        <is>
          <t>CONVERT case-sensitive units</t>
        </is>
      </c>
      <c r="B101" t="inlineStr">
        <is>
          <t>=CONVERT(1,"LBM","kg")</t>
        </is>
      </c>
      <c r="C101" t="e" cm="1">
        <f t="array" ref="C101">CONVERT(1,"LBM","kg")</f>
        <v>#N/A</v>
      </c>
      <c r="E101" t="inlineStr">
        <is>
          <t>#N/A</t>
        </is>
      </c>
    </row>
    <row r="102">
      <c r="A102" t="inlineStr">
        <is>
          <t>CONVERT text number</t>
        </is>
      </c>
      <c r="B102" t="inlineStr">
        <is>
          <t>=CONVERT("2","m","cm")</t>
        </is>
      </c>
      <c r="C102" cm="1">
        <f t="array" ref="C102">CONVERT("2","m","cm")</f>
        <v>200</v>
      </c>
      <c r="E102" t="inlineStr">
        <is>
          <t>200</t>
        </is>
      </c>
    </row>
    <row r="103">
      <c r="A103" t="inlineStr">
        <is>
          <t>CONVERT non-numeric</t>
        </is>
      </c>
      <c r="B103" t="inlineStr">
        <is>
          <t>=CONVERT("x","m","cm")</t>
        </is>
      </c>
      <c r="C103" t="e" cm="1">
        <f t="array" ref="C103">CONVERT("x","m","cm")</f>
        <v>#VALUE!</v>
      </c>
      <c r="E103" t="inlineStr">
        <is>
          <t>#VALUE!</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