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metadata.xml" ContentType="application/vnd.openxmlformats-officedocument.spreadsheetml.sheetMetadata+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rrays" sheetId="1" r:id="rId1"/>
    <sheet name="Spills" sheetId="2" r:id="rId4"/>
    <sheet name="Data" sheetId="3" r:id="rId5"/>
  </sheets>
  <calcPr calcId="12221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name val="Calibri"/>
      <family val="2"/>
      <b val="1"/>
      <color rgb="FF000000"/>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ype="http://schemas.openxmlformats.org/officeDocument/2006/relationships/sheetMetadata" Target="metadata.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showGridLines="true" tabSelected="true" workbookViewId="0">
      <pane activePane="bottomLeft" state="frozen" topLeftCell="A2" ySplit="1"/>
      <selection activeCell="A1" pane="bottomLeft" sqref="A1"/>
    </sheetView>
  </sheetViews>
  <sheetFormatPr defaultRowHeight="15"/>
  <cols>
    <col min="1" max="1" width="40" customWidth="1"/>
    <col min="2" max="2" width="70" customWidth="1"/>
    <col min="3" max="3" width="14" customWidth="1"/>
    <col min="5" max="5" width="14" customWidth="1"/>
  </cols>
  <sheetData>
    <row r="1">
      <c r="A1" s="1" t="inlineStr">
        <is>
          <t>Description</t>
        </is>
      </c>
      <c r="B1" s="1" t="inlineStr">
        <is>
          <t>Formula</t>
        </is>
      </c>
      <c r="C1" s="1" t="inlineStr">
        <is>
          <t>Result</t>
        </is>
      </c>
      <c r="E1" s="1" t="inlineStr">
        <is>
          <t>Expected</t>
        </is>
      </c>
    </row>
    <row r="2">
      <c r="A2" t="inlineStr">
        <is>
          <t>CHOOSECOLS: sum of columns 1 and 3</t>
        </is>
      </c>
      <c r="B2" t="inlineStr">
        <is>
          <t>=SUM(CHOOSECOLS(Data!A2:D7,1,3))</t>
        </is>
      </c>
      <c r="C2" cm="1">
        <f t="array" ref="C2">SUM(_xlfn.CHOOSECOLS(Data!A2:D7,1,3))</f>
        <v>144</v>
      </c>
      <c r="E2" t="inlineStr">
        <is>
          <t>144</t>
        </is>
      </c>
    </row>
    <row r="3">
      <c r="A3" t="inlineStr">
        <is>
          <t>CHOOSECOLS: last column, negative index</t>
        </is>
      </c>
      <c r="B3" t="inlineStr">
        <is>
          <t>=SUM(CHOOSECOLS(Data!A2:D7,-1))</t>
        </is>
      </c>
      <c r="C3" cm="1">
        <f t="array" ref="C3">SUM(_xlfn.CHOOSECOLS(Data!A2:D7,-1))</f>
        <v>84</v>
      </c>
      <c r="E3" t="inlineStr">
        <is>
          <t>84</t>
        </is>
      </c>
    </row>
    <row r="4">
      <c r="A4" t="inlineStr">
        <is>
          <t>CHOOSECOLS: index 0</t>
        </is>
      </c>
      <c r="B4" t="inlineStr">
        <is>
          <t>=CHOOSECOLS(Data!A2:D7,0)</t>
        </is>
      </c>
      <c r="C4" t="e" cm="1">
        <f t="array" ref="C4">_xlfn.CHOOSECOLS(Data!A2:D7,0)</f>
        <v>#VALUE!</v>
      </c>
      <c r="E4" t="inlineStr">
        <is>
          <t>#VALUE!</t>
        </is>
      </c>
    </row>
    <row r="5">
      <c r="A5" t="inlineStr">
        <is>
          <t>CHOOSECOLS: index beyond the array</t>
        </is>
      </c>
      <c r="B5" t="inlineStr">
        <is>
          <t>=CHOOSECOLS(Data!A2:D7,5)</t>
        </is>
      </c>
      <c r="C5" t="e" cm="1">
        <f t="array" ref="C5">_xlfn.CHOOSECOLS(Data!A2:D7,5)</f>
        <v>#VALUE!</v>
      </c>
      <c r="E5" t="inlineStr">
        <is>
          <t>#VALUE!</t>
        </is>
      </c>
    </row>
    <row r="6">
      <c r="A6" t="inlineStr">
        <is>
          <t>CHOOSEROWS: rows 1,3,5 and 1 (count)</t>
        </is>
      </c>
      <c r="B6" t="inlineStr">
        <is>
          <t>=ROWS(CHOOSEROWS(Data!A2:D7,1,3,5,1))</t>
        </is>
      </c>
      <c r="C6" cm="1">
        <f t="array" ref="C6">ROWS(_xlfn.CHOOSEROWS(Data!A2:D7,1,3,5,1))</f>
        <v>4</v>
      </c>
      <c r="E6" t="inlineStr">
        <is>
          <t>4</t>
        </is>
      </c>
    </row>
    <row r="7">
      <c r="A7" t="inlineStr">
        <is>
          <t>CHOOSEROWS: array of indexes</t>
        </is>
      </c>
      <c r="B7" t="inlineStr">
        <is>
          <t>=SUM(CHOOSEROWS(Data!A2:D7,{1,3}))</t>
        </is>
      </c>
      <c r="C7" cm="1">
        <f t="array" ref="C7">SUM(_xlfn.CHOOSEROWS(Data!A2:D7,{1,3}))</f>
        <v>52</v>
      </c>
      <c r="E7" t="inlineStr">
        <is>
          <t>52</t>
        </is>
      </c>
    </row>
    <row r="8">
      <c r="A8" t="inlineStr">
        <is>
          <t>CHOOSEROWS: second to last row</t>
        </is>
      </c>
      <c r="B8" t="inlineStr">
        <is>
          <t>=INDEX(CHOOSEROWS(Data!A2:D7,-2),1,1)</t>
        </is>
      </c>
      <c r="C8" cm="1">
        <f t="array" ref="C8">INDEX(_xlfn.CHOOSEROWS(Data!A2:D7,-2),1,1)</f>
        <v>17</v>
      </c>
      <c r="E8" t="inlineStr">
        <is>
          <t>17</t>
        </is>
      </c>
    </row>
    <row r="9">
      <c r="A9" t="inlineStr">
        <is>
          <t>CHOOSEROWS: index beyond the array</t>
        </is>
      </c>
      <c r="B9" t="inlineStr">
        <is>
          <t>=CHOOSEROWS(Data!A2:D7,7)</t>
        </is>
      </c>
      <c r="C9" t="e" cm="1">
        <f t="array" ref="C9">_xlfn.CHOOSEROWS(Data!A2:D7,7)</f>
        <v>#VALUE!</v>
      </c>
      <c r="E9" t="inlineStr">
        <is>
          <t>#VALUE!</t>
        </is>
      </c>
    </row>
    <row r="10">
      <c r="A10" t="inlineStr">
        <is>
          <t>TAKE: first 2 rows (sum)</t>
        </is>
      </c>
      <c r="B10" t="inlineStr">
        <is>
          <t>=SUM(TAKE(Data!F2:H4,2))</t>
        </is>
      </c>
      <c r="C10" cm="1">
        <f t="array" ref="C10">SUM(_xlfn.TAKE(Data!F2:H4,2))</f>
        <v>21</v>
      </c>
      <c r="E10" t="inlineStr">
        <is>
          <t>21</t>
        </is>
      </c>
    </row>
    <row r="11">
      <c r="A11" t="inlineStr">
        <is>
          <t>TAKE: last 2 columns (sum)</t>
        </is>
      </c>
      <c r="B11" t="inlineStr">
        <is>
          <t>=SUM(TAKE(Data!F2:H4,,-2))</t>
        </is>
      </c>
      <c r="C11" cm="1">
        <f t="array" ref="C11">SUM(_xlfn.TAKE(Data!F2:H4,,-2))</f>
        <v>33</v>
      </c>
      <c r="E11" t="inlineStr">
        <is>
          <t>33</t>
        </is>
      </c>
    </row>
    <row r="12">
      <c r="A12" t="inlineStr">
        <is>
          <t>TAKE: 0 rows</t>
        </is>
      </c>
      <c r="B12" t="inlineStr">
        <is>
          <t>=TAKE(Data!F2:H4,0)</t>
        </is>
      </c>
      <c r="C12" t="e" cm="1">
        <f t="array" ref="C12">_xlfn.TAKE(Data!F2:H4,0)</f>
        <v>#CALC!</v>
      </c>
      <c r="E12" t="inlineStr">
        <is>
          <t>#CALC!</t>
        </is>
      </c>
    </row>
    <row r="13">
      <c r="A13" t="inlineStr">
        <is>
          <t>TAKE: more rows than there are</t>
        </is>
      </c>
      <c r="B13" t="inlineStr">
        <is>
          <t>=ROWS(TAKE(Data!F2:H4,10))</t>
        </is>
      </c>
      <c r="C13" cm="1">
        <f t="array" ref="C13">ROWS(_xlfn.TAKE(Data!F2:H4,10))</f>
        <v>3</v>
      </c>
      <c r="E13" t="inlineStr">
        <is>
          <t>3</t>
        </is>
      </c>
    </row>
    <row r="14">
      <c r="A14" t="inlineStr">
        <is>
          <t>TAKE: last cell of a column</t>
        </is>
      </c>
      <c r="B14" t="inlineStr">
        <is>
          <t>=TAKE(Data!F2:F4,-1)</t>
        </is>
      </c>
      <c r="C14" cm="1">
        <f t="array" ref="C14">_xlfn.TAKE(Data!F2:F4,-1)</f>
        <v>7</v>
      </c>
      <c r="E14" t="inlineStr">
        <is>
          <t>7</t>
        </is>
      </c>
    </row>
    <row r="15">
      <c r="A15" t="inlineStr">
        <is>
          <t>DROP: first 2 rows dropped</t>
        </is>
      </c>
      <c r="B15" t="inlineStr">
        <is>
          <t>=SUM(DROP(Data!F2:H4,2))</t>
        </is>
      </c>
      <c r="C15" cm="1">
        <f t="array" ref="C15">SUM(_xlfn.DROP(Data!F2:H4,2))</f>
        <v>24</v>
      </c>
      <c r="E15" t="inlineStr">
        <is>
          <t>24</t>
        </is>
      </c>
    </row>
    <row r="16">
      <c r="A16" t="inlineStr">
        <is>
          <t>DROP: 2 rows and 2 columns dropped</t>
        </is>
      </c>
      <c r="B16" t="inlineStr">
        <is>
          <t>=DROP(Data!F2:H4,2,2)</t>
        </is>
      </c>
      <c r="C16" cm="1">
        <f t="array" ref="C16">_xlfn.DROP(Data!F2:H4,2,2)</f>
        <v>9</v>
      </c>
      <c r="E16" t="inlineStr">
        <is>
          <t>9</t>
        </is>
      </c>
    </row>
    <row r="17">
      <c r="A17" t="inlineStr">
        <is>
          <t>DROP: last 2 rows dropped</t>
        </is>
      </c>
      <c r="B17" t="inlineStr">
        <is>
          <t>=SUM(DROP(Data!F2:H4,-2))</t>
        </is>
      </c>
      <c r="C17" cm="1">
        <f t="array" ref="C17">SUM(_xlfn.DROP(Data!F2:H4,-2))</f>
        <v>6</v>
      </c>
      <c r="E17" t="inlineStr">
        <is>
          <t>6</t>
        </is>
      </c>
    </row>
    <row r="18">
      <c r="A18" t="inlineStr">
        <is>
          <t>DROP: everything dropped</t>
        </is>
      </c>
      <c r="B18" t="inlineStr">
        <is>
          <t>=DROP(Data!F2:H4,3)</t>
        </is>
      </c>
      <c r="C18" t="e" cm="1">
        <f t="array" ref="C18">_xlfn.DROP(Data!F2:H4,3)</f>
        <v>#CALC!</v>
      </c>
      <c r="E18" t="inlineStr">
        <is>
          <t>#CALC!</t>
        </is>
      </c>
    </row>
    <row r="19">
      <c r="A19" t="inlineStr">
        <is>
          <t>EXPAND: padded cell is #N/A</t>
        </is>
      </c>
      <c r="B19" t="inlineStr">
        <is>
          <t>=INDEX(EXPAND({1,2;3,4},3,3),3,3)</t>
        </is>
      </c>
      <c r="C19" t="e" cm="1">
        <f t="array" ref="C19">INDEX(_xlfn.EXPAND({1,2;3,4},3,3),3,3)</f>
        <v>#N/A</v>
      </c>
      <c r="E19" t="inlineStr">
        <is>
          <t>#N/A</t>
        </is>
      </c>
    </row>
    <row r="20">
      <c r="A20" t="inlineStr">
        <is>
          <t>EXPAND: pad_with</t>
        </is>
      </c>
      <c r="B20" t="inlineStr">
        <is>
          <t>=INDEX(EXPAND({1,2;3,4},3,3,"-"),1,3)</t>
        </is>
      </c>
      <c r="C20" t="str" cm="1">
        <f t="array" ref="C20">INDEX(_xlfn.EXPAND({1,2;3,4},3,3,"-"),1,3)</f>
        <v>-</v>
      </c>
      <c r="E20" t="inlineStr">
        <is>
          <t>-</t>
        </is>
      </c>
    </row>
    <row r="21">
      <c r="A21" t="inlineStr">
        <is>
          <t>EXPAND: smaller than the array</t>
        </is>
      </c>
      <c r="B21" t="inlineStr">
        <is>
          <t>=EXPAND({1,2;3,4},1,2)</t>
        </is>
      </c>
      <c r="C21" t="e" cm="1">
        <f t="array" ref="C21">_xlfn.EXPAND({1,2;3,4},1,2)</f>
        <v>#VALUE!</v>
      </c>
      <c r="E21" t="inlineStr">
        <is>
          <t>#VALUE!</t>
        </is>
      </c>
    </row>
    <row r="22">
      <c r="A22" t="inlineStr">
        <is>
          <t>HSTACK: width of 3+3</t>
        </is>
      </c>
      <c r="B22" t="inlineStr">
        <is>
          <t>=COLUMNS(HSTACK({"A","B","C"},{"AA","BB","CC"}))</t>
        </is>
      </c>
      <c r="C22" cm="1">
        <f t="array" ref="C22">COLUMNS(_xlfn.HSTACK({"A","B","C"},{"AA","BB","CC"}))</f>
        <v>6</v>
      </c>
      <c r="E22" t="inlineStr">
        <is>
          <t>6</t>
        </is>
      </c>
    </row>
    <row r="23">
      <c r="A23" t="inlineStr">
        <is>
          <t>VSTACK: ragged input padded with #N/A</t>
        </is>
      </c>
      <c r="B23" t="inlineStr">
        <is>
          <t>=INDEX(VSTACK({1,2},{3;4}),3,2)</t>
        </is>
      </c>
      <c r="C23" t="e" cm="1">
        <f t="array" ref="C23">INDEX(_xlfn.VSTACK({1,2},{3;4}),3,2)</f>
        <v>#N/A</v>
      </c>
      <c r="E23" t="inlineStr">
        <is>
          <t>#N/A</t>
        </is>
      </c>
    </row>
    <row r="24">
      <c r="A24" t="inlineStr">
        <is>
          <t>VSTACK of two ranges (sum)</t>
        </is>
      </c>
      <c r="B24" t="inlineStr">
        <is>
          <t>=SUM(VSTACK(Data!F2:H2,Data!F4:H4))</t>
        </is>
      </c>
      <c r="C24" cm="1">
        <f t="array" ref="C24">SUM(_xlfn.VSTACK(Data!F2:H2,Data!F4:H4))</f>
        <v>30</v>
      </c>
      <c r="E24" t="inlineStr">
        <is>
          <t>30</t>
        </is>
      </c>
    </row>
    <row r="25">
      <c r="A25" t="inlineStr">
        <is>
          <t>TOCOL: count, blanks kept</t>
        </is>
      </c>
      <c r="B25" t="inlineStr">
        <is>
          <t>=ROWS(TOCOL(Data!J2:M4))</t>
        </is>
      </c>
      <c r="C25" cm="1">
        <f t="array" ref="C25">ROWS(_xlfn.TOCOL(Data!J2:M4))</f>
        <v>12</v>
      </c>
      <c r="E25" t="inlineStr">
        <is>
          <t>12</t>
        </is>
      </c>
    </row>
    <row r="26">
      <c r="A26" t="inlineStr">
        <is>
          <t>TOCOL: ignore blanks and errors</t>
        </is>
      </c>
      <c r="B26" t="inlineStr">
        <is>
          <t>=ROWS(TOCOL(Data!J2:M4,3))</t>
        </is>
      </c>
      <c r="C26" cm="1">
        <f t="array" ref="C26">ROWS(_xlfn.TOCOL(Data!J2:M4,3))</f>
        <v>10</v>
      </c>
      <c r="E26" t="inlineStr">
        <is>
          <t>10</t>
        </is>
      </c>
    </row>
    <row r="27">
      <c r="A27" t="inlineStr">
        <is>
          <t>TOCOL: scan by column, 2nd value</t>
        </is>
      </c>
      <c r="B27" t="inlineStr">
        <is>
          <t>=INDEX(TOCOL(Data!J2:M4,3,TRUE),2)</t>
        </is>
      </c>
      <c r="C27" t="str" cm="1">
        <f t="array" ref="C27">INDEX(_xlfn.TOCOL(Data!J2:M4,3,TRUE),2)</f>
        <v>John</v>
      </c>
      <c r="E27" t="inlineStr">
        <is>
          <t>John</t>
        </is>
      </c>
    </row>
    <row r="28">
      <c r="A28" t="inlineStr">
        <is>
          <t>TOROW: by row, 2nd value</t>
        </is>
      </c>
      <c r="B28" t="inlineStr">
        <is>
          <t>=INDEX(TOROW(Data!J2:M4),2)</t>
        </is>
      </c>
      <c r="C28" t="str" cm="1">
        <f t="array" ref="C28">INDEX(_xlfn.TOROW(Data!J2:M4),2)</f>
        <v>Peter</v>
      </c>
      <c r="E28" t="inlineStr">
        <is>
          <t>Peter</t>
        </is>
      </c>
    </row>
    <row r="29">
      <c r="A29" t="inlineStr">
        <is>
          <t>TOROW: invalid ignore</t>
        </is>
      </c>
      <c r="B29" t="inlineStr">
        <is>
          <t>=TOROW(Data!J2:M4,4)</t>
        </is>
      </c>
      <c r="C29" t="e" cm="1">
        <f t="array" ref="C29">_xlfn.TOROW(Data!J2:M4,4)</f>
        <v>#VALUE!</v>
      </c>
      <c r="E29" t="inlineStr">
        <is>
          <t>#VALUE!</t>
        </is>
      </c>
    </row>
    <row r="30">
      <c r="A30" t="inlineStr">
        <is>
          <t>WRAPROWS: 7 values in rows of 3</t>
        </is>
      </c>
      <c r="B30" t="inlineStr">
        <is>
          <t>=ROWS(WRAPROWS(SEQUENCE(1,7),3))</t>
        </is>
      </c>
      <c r="C30" cm="1">
        <f t="array" ref="C30">ROWS(_xlfn.WRAPROWS(_xlfn.SEQUENCE(1,7),3))</f>
        <v>3</v>
      </c>
      <c r="E30" t="inlineStr">
        <is>
          <t>3</t>
        </is>
      </c>
    </row>
    <row r="31">
      <c r="A31" t="inlineStr">
        <is>
          <t>WRAPROWS: padding #N/A</t>
        </is>
      </c>
      <c r="B31" t="inlineStr">
        <is>
          <t>=INDEX(WRAPROWS(SEQUENCE(1,7),3),3,2)</t>
        </is>
      </c>
      <c r="C31" t="e" cm="1">
        <f t="array" ref="C31">INDEX(_xlfn.WRAPROWS(_xlfn.SEQUENCE(1,7),3),3,2)</f>
        <v>#N/A</v>
      </c>
      <c r="E31" t="inlineStr">
        <is>
          <t>#N/A</t>
        </is>
      </c>
    </row>
    <row r="32">
      <c r="A32" t="inlineStr">
        <is>
          <t>WRAPCOLS: pad_with 0 (sum)</t>
        </is>
      </c>
      <c r="B32" t="inlineStr">
        <is>
          <t>=SUM(WRAPCOLS(SEQUENCE(7),3,0))</t>
        </is>
      </c>
      <c r="C32" cm="1">
        <f t="array" ref="C32">SUM(_xlfn.WRAPCOLS(_xlfn.SEQUENCE(7),3,0))</f>
        <v>28</v>
      </c>
      <c r="E32" t="inlineStr">
        <is>
          <t>28</t>
        </is>
      </c>
    </row>
    <row r="33">
      <c r="A33" t="inlineStr">
        <is>
          <t>WRAPROWS: 2-D input</t>
        </is>
      </c>
      <c r="B33" t="inlineStr">
        <is>
          <t>=WRAPROWS({1,2;3,4},2)</t>
        </is>
      </c>
      <c r="C33" t="e" cm="1">
        <f t="array" ref="C33">_xlfn.WRAPROWS({1,2;3,4},2)</f>
        <v>#VALUE!</v>
      </c>
      <c r="E33" t="inlineStr">
        <is>
          <t>#VALUE!</t>
        </is>
      </c>
    </row>
    <row r="34">
      <c r="A34" t="inlineStr">
        <is>
          <t>WRAPROWS: wrap_count 0</t>
        </is>
      </c>
      <c r="B34" t="inlineStr">
        <is>
          <t>=WRAPROWS({1,2,3},0)</t>
        </is>
      </c>
      <c r="C34" t="e" cm="1">
        <f t="array" ref="C34">_xlfn.WRAPROWS({1,2,3},0)</f>
        <v>#NUM!</v>
      </c>
      <c r="E34" t="inlineStr">
        <is>
          <t>#NUM!</t>
        </is>
      </c>
    </row>
    <row r="35">
      <c r="A35" t="inlineStr">
        <is>
          <t>TRIMRANGE: whole column O trimmed</t>
        </is>
      </c>
      <c r="B35" t="inlineStr">
        <is>
          <t>=ROWS(TRIMRANGE(Data!O:O))</t>
        </is>
      </c>
      <c r="C35" cm="1">
        <f t="array" ref="C35">ROWS(_xlfn.TRIMRANGE(Data!O:O))</f>
        <v>4</v>
      </c>
      <c r="E35" t="inlineStr">
        <is>
          <t>4</t>
        </is>
      </c>
    </row>
    <row r="36">
      <c r="A36" t="inlineStr">
        <is>
          <t>TRIMRANGE: first row of O:O</t>
        </is>
      </c>
      <c r="B36" t="inlineStr">
        <is>
          <t>=MIN(ROW(TRIMRANGE(Data!O:O)))</t>
        </is>
      </c>
      <c r="C36" cm="1">
        <f t="array" ref="C36">MIN(ROW(_xlfn.TRIMRANGE(Data!O:O)))</f>
        <v>3</v>
      </c>
      <c r="E36" t="inlineStr">
        <is>
          <t>3</t>
        </is>
      </c>
    </row>
    <row r="37">
      <c r="A37" t="inlineStr">
        <is>
          <t>TRIMRANGE: leading rows only</t>
        </is>
      </c>
      <c r="B37" t="inlineStr">
        <is>
          <t>=ROWS(TRIMRANGE(Data!O1:O20,1))</t>
        </is>
      </c>
      <c r="C37" cm="1">
        <f t="array" ref="C37">ROWS(_xlfn.TRIMRANGE(Data!O1:O20,1))</f>
        <v>18</v>
      </c>
      <c r="E37" t="inlineStr">
        <is>
          <t>18</t>
        </is>
      </c>
    </row>
    <row r="38">
      <c r="A38" t="inlineStr">
        <is>
          <t>TRIMRANGE: trailing rows only</t>
        </is>
      </c>
      <c r="B38" t="inlineStr">
        <is>
          <t>=ROWS(TRIMRANGE(Data!O1:O20,2))</t>
        </is>
      </c>
      <c r="C38" cm="1">
        <f t="array" ref="C38">ROWS(_xlfn.TRIMRANGE(Data!O1:O20,2))</f>
        <v>6</v>
      </c>
      <c r="E38" t="inlineStr">
        <is>
          <t>6</t>
        </is>
      </c>
    </row>
    <row r="39">
      <c r="A39" t="inlineStr">
        <is>
          <t>TRIMRANGE: sum of trimmed column</t>
        </is>
      </c>
      <c r="B39" t="inlineStr">
        <is>
          <t>=SUM(TRIMRANGE(Data!O:O))</t>
        </is>
      </c>
      <c r="C39" cm="1">
        <f t="array" ref="C39">SUM(_xlfn.TRIMRANGE(Data!O:O))</f>
        <v>15</v>
      </c>
      <c r="E39" t="inlineStr">
        <is>
          <t>15</t>
        </is>
      </c>
    </row>
    <row r="40">
      <c r="A40" t="inlineStr">
        <is>
          <t>TRIMRANGE: empty range</t>
        </is>
      </c>
      <c r="B40" t="inlineStr">
        <is>
          <t>=TRIMRANGE(Data!Q1:Q5)</t>
        </is>
      </c>
      <c r="C40" t="e" cm="1">
        <f t="array" ref="C40">_xlfn.TRIMRANGE(Data!Q1:Q5)</f>
        <v>#REF!</v>
      </c>
      <c r="E40" t="inlineStr">
        <is>
          <t>#REF!</t>
        </is>
      </c>
    </row>
    <row r="41">
      <c r="A41" t="inlineStr">
        <is>
          <t>GROUPBY: East total</t>
        </is>
      </c>
      <c r="B41" t="inlineStr">
        <is>
          <t>=INDEX(GROUPBY(Data!A11:A15,Data!D11:D15,SUM),1,2)</t>
        </is>
      </c>
      <c r="C41" cm="1">
        <f t="array" ref="C41">INDEX(_xlfn.GROUPBY(Data!A11:A15,Data!D11:D15,_xleta.SUM),1,2)</f>
        <v>90</v>
      </c>
      <c r="E41" t="inlineStr">
        <is>
          <t>90</t>
        </is>
      </c>
    </row>
    <row r="42">
      <c r="A42" t="inlineStr">
        <is>
          <t>GROUPBY: grand total</t>
        </is>
      </c>
      <c r="B42" t="inlineStr">
        <is>
          <t>=INDEX(GROUPBY(Data!A11:A15,Data!D11:D15,SUM),3,2)</t>
        </is>
      </c>
      <c r="C42" cm="1">
        <f t="array" ref="C42">INDEX(_xlfn.GROUPBY(Data!A11:A15,Data!D11:D15,_xleta.SUM),3,2)</f>
        <v>150</v>
      </c>
      <c r="E42" t="inlineStr">
        <is>
          <t>150</t>
        </is>
      </c>
    </row>
    <row r="43">
      <c r="A43" t="inlineStr">
        <is>
          <t>GROUPBY: subtotals with two key columns (rows)</t>
        </is>
      </c>
      <c r="B43" t="inlineStr">
        <is>
          <t>=ROWS(GROUPBY(Data!A11:B15,Data!D11:D15,SUM,0))</t>
        </is>
      </c>
      <c r="C43" cm="1">
        <f t="array" ref="C43">ROWS(_xlfn.GROUPBY(Data!A11:B15,Data!D11:D15,_xleta.SUM,0))</f>
        <v>7</v>
      </c>
      <c r="E43" t="inlineStr">
        <is>
          <t>7</t>
        </is>
      </c>
    </row>
    <row r="44">
      <c r="A44" t="inlineStr">
        <is>
          <t>GROUPBY: subtotals need two key columns</t>
        </is>
      </c>
      <c r="B44" t="inlineStr">
        <is>
          <t>=GROUPBY(Data!A11:A15,Data!D11:D15,SUM,0,2)</t>
        </is>
      </c>
      <c r="C44" t="e" cm="1">
        <f t="array" ref="C44">_xlfn.GROUPBY(Data!A11:A15,Data!D11:D15,_xleta.SUM,0,2)</f>
        <v>#VALUE!</v>
      </c>
      <c r="E44" t="inlineStr">
        <is>
          <t>#VALUE!</t>
        </is>
      </c>
    </row>
    <row r="45">
      <c r="A45" t="inlineStr">
        <is>
          <t>GROUPBY: nothing passes the filter</t>
        </is>
      </c>
      <c r="B45" t="inlineStr">
        <is>
          <t>=GROUPBY(Data!A11:A15,Data!D11:D15,SUM,0,,,Data!C11:C15=1999)</t>
        </is>
      </c>
      <c r="C45" t="e" cm="1">
        <f t="array" ref="C45">_xlfn.GROUPBY(Data!A11:A15,Data!D11:D15,_xleta.SUM,0,,,Data!C11:C15=1999)</f>
        <v>#CALC!</v>
      </c>
      <c r="E45" t="inlineStr">
        <is>
          <t>#CALC!</t>
        </is>
      </c>
    </row>
    <row r="46">
      <c r="A46" t="inlineStr">
        <is>
          <t>PIVOTBY: East 2024</t>
        </is>
      </c>
      <c r="B46" t="inlineStr">
        <is>
          <t>=INDEX(PIVOTBY(Data!A11:A15,Data!C11:C15,Data!D11:D15,SUM,0),2,3)</t>
        </is>
      </c>
      <c r="C46" cm="1">
        <f t="array" ref="C46">INDEX(_xlfn.PIVOTBY(Data!A11:A15,Data!C11:C15,Data!D11:D15,_xleta.SUM,0),2,3)</f>
        <v>80</v>
      </c>
      <c r="E46" t="inlineStr">
        <is>
          <t>80</t>
        </is>
      </c>
    </row>
    <row r="47">
      <c r="A47" t="inlineStr">
        <is>
          <t>PIVOTBY: grand total</t>
        </is>
      </c>
      <c r="B47" t="inlineStr">
        <is>
          <t>=INDEX(PIVOTBY(Data!A11:A15,Data!C11:C15,Data!D11:D15,SUM,0),4,4)</t>
        </is>
      </c>
      <c r="C47" cm="1">
        <f t="array" ref="C47">INDEX(_xlfn.PIVOTBY(Data!A11:A15,Data!C11:C15,Data!D11:D15,_xleta.SUM,0),4,4)</f>
        <v>150</v>
      </c>
      <c r="E47" t="inlineStr">
        <is>
          <t>150</t>
        </is>
      </c>
    </row>
    <row r="48">
      <c r="A48" t="inlineStr">
        <is>
          <t>BYROW with SUM named as a value</t>
        </is>
      </c>
      <c r="B48" t="inlineStr">
        <is>
          <t>=SUM(BYROW({1,2;3,4},SUM)*{1;10})</t>
        </is>
      </c>
      <c r="C48" cm="1">
        <f t="array" ref="C48">SUM(_xlfn.BYROW({1,2;3,4},_xleta.SUM)*{1;10})</f>
        <v>73</v>
      </c>
      <c r="E48" t="inlineStr">
        <is>
          <t>73</t>
        </is>
      </c>
    </row>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showGridLines="true" workbookViewId="0"/>
  </sheetViews>
  <sheetFormatPr defaultRowHeight="15"/>
  <cols>
    <col min="1" max="16" width="10" customWidth="1"/>
  </cols>
  <sheetData>
    <row r="1">
      <c r="A1" s="1" t="inlineStr">
        <is>
          <t>Result (spilled)</t>
        </is>
      </c>
      <c r="J1" s="1" t="inlineStr">
        <is>
          <t>Expected</t>
        </is>
      </c>
    </row>
    <row r="3">
      <c r="A3" s="1" t="inlineStr">
        <is>
          <t>CHOOSECOLS columns 1 and 3:  =CHOOSECOLS(Data!A2:D7,1,3)</t>
        </is>
      </c>
    </row>
    <row r="4">
      <c r="A4" cm="1">
        <f t="array" ref="A4:B9">_xlfn.CHOOSECOLS(Data!A2:D7,1,3)</f>
        <v>1</v>
      </c>
      <c r="B4">
        <v>3</v>
      </c>
      <c r="J4">
        <v>1</v>
      </c>
      <c r="K4">
        <v>3</v>
      </c>
    </row>
    <row r="5">
      <c r="A5">
        <v>5</v>
      </c>
      <c r="B5">
        <v>7</v>
      </c>
      <c r="J5">
        <v>5</v>
      </c>
      <c r="K5">
        <v>7</v>
      </c>
    </row>
    <row r="6">
      <c r="A6">
        <v>9</v>
      </c>
      <c r="B6">
        <v>11</v>
      </c>
      <c r="J6">
        <v>9</v>
      </c>
      <c r="K6">
        <v>11</v>
      </c>
    </row>
    <row r="7">
      <c r="A7">
        <v>13</v>
      </c>
      <c r="B7">
        <v>15</v>
      </c>
      <c r="J7">
        <v>13</v>
      </c>
      <c r="K7">
        <v>15</v>
      </c>
    </row>
    <row r="8">
      <c r="A8">
        <v>17</v>
      </c>
      <c r="B8">
        <v>19</v>
      </c>
      <c r="J8">
        <v>17</v>
      </c>
      <c r="K8">
        <v>19</v>
      </c>
    </row>
    <row r="9">
      <c r="A9">
        <v>21</v>
      </c>
      <c r="B9">
        <v>23</v>
      </c>
      <c r="J9">
        <v>21</v>
      </c>
      <c r="K9">
        <v>23</v>
      </c>
    </row>
    <row r="12">
      <c r="A12" s="1" t="inlineStr">
        <is>
          <t>CHOOSEROWS rows 1,3,5,1:  =CHOOSEROWS(Data!A2:D7,1,3,5,1)</t>
        </is>
      </c>
    </row>
    <row r="13">
      <c r="A13" cm="1">
        <f t="array" ref="A13:D16">_xlfn.CHOOSEROWS(Data!A2:D7,1,3,5,1)</f>
        <v>1</v>
      </c>
      <c r="B13">
        <v>2</v>
      </c>
      <c r="C13">
        <v>3</v>
      </c>
      <c r="D13">
        <v>4</v>
      </c>
      <c r="J13">
        <v>1</v>
      </c>
      <c r="K13">
        <v>2</v>
      </c>
      <c r="L13">
        <v>3</v>
      </c>
      <c r="M13">
        <v>4</v>
      </c>
    </row>
    <row r="14">
      <c r="A14">
        <v>9</v>
      </c>
      <c r="B14">
        <v>10</v>
      </c>
      <c r="C14">
        <v>11</v>
      </c>
      <c r="D14">
        <v>12</v>
      </c>
      <c r="J14">
        <v>9</v>
      </c>
      <c r="K14">
        <v>10</v>
      </c>
      <c r="L14">
        <v>11</v>
      </c>
      <c r="M14">
        <v>12</v>
      </c>
    </row>
    <row r="15">
      <c r="A15">
        <v>17</v>
      </c>
      <c r="B15">
        <v>18</v>
      </c>
      <c r="C15">
        <v>19</v>
      </c>
      <c r="D15">
        <v>20</v>
      </c>
      <c r="J15">
        <v>17</v>
      </c>
      <c r="K15">
        <v>18</v>
      </c>
      <c r="L15">
        <v>19</v>
      </c>
      <c r="M15">
        <v>20</v>
      </c>
    </row>
    <row r="16">
      <c r="A16">
        <v>1</v>
      </c>
      <c r="B16">
        <v>2</v>
      </c>
      <c r="C16">
        <v>3</v>
      </c>
      <c r="D16">
        <v>4</v>
      </c>
      <c r="J16">
        <v>1</v>
      </c>
      <c r="K16">
        <v>2</v>
      </c>
      <c r="L16">
        <v>3</v>
      </c>
      <c r="M16">
        <v>4</v>
      </c>
    </row>
    <row r="19">
      <c r="A19" s="1" t="inlineStr">
        <is>
          <t>TAKE first 2 rows:  =TAKE(Data!F2:H4,2)</t>
        </is>
      </c>
    </row>
    <row r="20">
      <c r="A20" cm="1">
        <f t="array" ref="A20:C21">_xlfn.TAKE(Data!F2:H4,2)</f>
        <v>1</v>
      </c>
      <c r="B20">
        <v>2</v>
      </c>
      <c r="C20">
        <v>3</v>
      </c>
      <c r="J20">
        <v>1</v>
      </c>
      <c r="K20">
        <v>2</v>
      </c>
      <c r="L20">
        <v>3</v>
      </c>
    </row>
    <row r="21">
      <c r="A21">
        <v>4</v>
      </c>
      <c r="B21">
        <v>5</v>
      </c>
      <c r="C21">
        <v>6</v>
      </c>
      <c r="J21">
        <v>4</v>
      </c>
      <c r="K21">
        <v>5</v>
      </c>
      <c r="L21">
        <v>6</v>
      </c>
    </row>
    <row r="24">
      <c r="A24" s="1" t="inlineStr">
        <is>
          <t>TAKE last 2 rows, first 2 columns:  =TAKE(Data!F2:H4,-2,2)</t>
        </is>
      </c>
    </row>
    <row r="25">
      <c r="A25" cm="1">
        <f t="array" ref="A25:B26">_xlfn.TAKE(Data!F2:H4,-2,2)</f>
        <v>4</v>
      </c>
      <c r="B25">
        <v>5</v>
      </c>
      <c r="J25">
        <v>4</v>
      </c>
      <c r="K25">
        <v>5</v>
      </c>
    </row>
    <row r="26">
      <c r="A26">
        <v>7</v>
      </c>
      <c r="B26">
        <v>8</v>
      </c>
      <c r="J26">
        <v>7</v>
      </c>
      <c r="K26">
        <v>8</v>
      </c>
    </row>
    <row r="29">
      <c r="A29" s="1" t="inlineStr">
        <is>
          <t>DROP 2 columns:  =DROP(Data!F2:H4,,2)</t>
        </is>
      </c>
    </row>
    <row r="30">
      <c r="A30" cm="1">
        <f t="array" ref="A30:A32">_xlfn.DROP(Data!F2:H4,,2)</f>
        <v>3</v>
      </c>
      <c r="J30">
        <v>3</v>
      </c>
    </row>
    <row r="31">
      <c r="A31">
        <v>6</v>
      </c>
      <c r="J31">
        <v>6</v>
      </c>
    </row>
    <row r="32">
      <c r="A32">
        <v>9</v>
      </c>
      <c r="J32">
        <v>9</v>
      </c>
    </row>
    <row r="35">
      <c r="A35" s="1" t="inlineStr">
        <is>
          <t>EXPAND to 3x3 (#N/A):  =EXPAND({1,2;3,4},3,3)</t>
        </is>
      </c>
    </row>
    <row r="36">
      <c r="A36" cm="1">
        <f t="array" ref="A36:C38">_xlfn.EXPAND({1,2;3,4},3,3)</f>
        <v>1</v>
      </c>
      <c r="B36">
        <v>2</v>
      </c>
      <c r="C36" t="e">
        <v>#N/A</v>
      </c>
      <c r="J36">
        <v>1</v>
      </c>
      <c r="K36">
        <v>2</v>
      </c>
      <c r="L36" t="e">
        <v>#N/A</v>
      </c>
    </row>
    <row r="37">
      <c r="A37">
        <v>3</v>
      </c>
      <c r="B37">
        <v>4</v>
      </c>
      <c r="C37" t="e">
        <v>#N/A</v>
      </c>
      <c r="J37">
        <v>3</v>
      </c>
      <c r="K37">
        <v>4</v>
      </c>
      <c r="L37" t="e">
        <v>#N/A</v>
      </c>
    </row>
    <row r="38">
      <c r="A38" t="e">
        <v>#N/A</v>
      </c>
      <c r="B38" t="e">
        <v>#N/A</v>
      </c>
      <c r="C38" t="e">
        <v>#N/A</v>
      </c>
      <c r="J38" t="e">
        <v>#N/A</v>
      </c>
      <c r="K38" t="e">
        <v>#N/A</v>
      </c>
      <c r="L38" t="e">
        <v>#N/A</v>
      </c>
    </row>
    <row r="41">
      <c r="A41" s="1" t="inlineStr">
        <is>
          <t>HSTACK:  =HSTACK({"A","B","C"},{"AA","BB","CC"})</t>
        </is>
      </c>
    </row>
    <row r="42">
      <c r="A42" t="str" cm="1">
        <f t="array" ref="A42:F42">_xlfn.HSTACK({"A","B","C"},{"AA","BB","CC"})</f>
        <v>A</v>
      </c>
      <c r="B42" t="inlineStr">
        <is>
          <t>B</t>
        </is>
      </c>
      <c r="C42" t="inlineStr">
        <is>
          <t>C</t>
        </is>
      </c>
      <c r="D42" t="inlineStr">
        <is>
          <t>AA</t>
        </is>
      </c>
      <c r="E42" t="inlineStr">
        <is>
          <t>BB</t>
        </is>
      </c>
      <c r="F42" t="inlineStr">
        <is>
          <t>CC</t>
        </is>
      </c>
      <c r="J42" t="inlineStr">
        <is>
          <t>A</t>
        </is>
      </c>
      <c r="K42" t="inlineStr">
        <is>
          <t>B</t>
        </is>
      </c>
      <c r="L42" t="inlineStr">
        <is>
          <t>C</t>
        </is>
      </c>
      <c r="M42" t="inlineStr">
        <is>
          <t>AA</t>
        </is>
      </c>
      <c r="N42" t="inlineStr">
        <is>
          <t>BB</t>
        </is>
      </c>
      <c r="O42" t="inlineStr">
        <is>
          <t>CC</t>
        </is>
      </c>
    </row>
    <row r="45">
      <c r="A45" s="1" t="inlineStr">
        <is>
          <t>VSTACK ragged:  =VSTACK({1,2},{3;4})</t>
        </is>
      </c>
    </row>
    <row r="46">
      <c r="A46" cm="1">
        <f t="array" ref="A46:B48">_xlfn.VSTACK({1,2},{3;4})</f>
        <v>1</v>
      </c>
      <c r="B46">
        <v>2</v>
      </c>
      <c r="J46">
        <v>1</v>
      </c>
      <c r="K46">
        <v>2</v>
      </c>
    </row>
    <row r="47">
      <c r="A47">
        <v>3</v>
      </c>
      <c r="B47" t="e">
        <v>#N/A</v>
      </c>
      <c r="J47">
        <v>3</v>
      </c>
      <c r="K47" t="e">
        <v>#N/A</v>
      </c>
    </row>
    <row r="48">
      <c r="A48">
        <v>4</v>
      </c>
      <c r="B48" t="e">
        <v>#N/A</v>
      </c>
      <c r="J48">
        <v>4</v>
      </c>
      <c r="K48" t="e">
        <v>#N/A</v>
      </c>
    </row>
    <row r="51">
      <c r="A51" s="1" t="inlineStr">
        <is>
          <t>TOCOL ignoring blanks and errors, by column:  =TOCOL(Data!J2:M4,3,TRUE)</t>
        </is>
      </c>
    </row>
    <row r="52">
      <c r="A52" t="str" cm="1">
        <f t="array" ref="A52:A61">_xlfn.TOCOL(Data!J2:M4,3,TRUE)</f>
        <v>Ben</v>
      </c>
      <c r="J52" t="inlineStr">
        <is>
          <t>Ben</t>
        </is>
      </c>
    </row>
    <row r="53">
      <c r="A53" t="inlineStr">
        <is>
          <t>John</t>
        </is>
      </c>
      <c r="J53" t="inlineStr">
        <is>
          <t>John</t>
        </is>
      </c>
    </row>
    <row r="54">
      <c r="A54" t="inlineStr">
        <is>
          <t>Agnes</t>
        </is>
      </c>
      <c r="J54" t="inlineStr">
        <is>
          <t>Agnes</t>
        </is>
      </c>
    </row>
    <row r="55">
      <c r="A55" t="inlineStr">
        <is>
          <t>Peter</t>
        </is>
      </c>
      <c r="J55" t="inlineStr">
        <is>
          <t>Peter</t>
        </is>
      </c>
    </row>
    <row r="56">
      <c r="A56" t="inlineStr">
        <is>
          <t>Hillary</t>
        </is>
      </c>
      <c r="J56" t="inlineStr">
        <is>
          <t>Hillary</t>
        </is>
      </c>
    </row>
    <row r="57">
      <c r="A57" t="inlineStr">
        <is>
          <t>Harry</t>
        </is>
      </c>
      <c r="J57" t="inlineStr">
        <is>
          <t>Harry</t>
        </is>
      </c>
    </row>
    <row r="58">
      <c r="A58" t="inlineStr">
        <is>
          <t>Mary</t>
        </is>
      </c>
      <c r="J58" t="inlineStr">
        <is>
          <t>Mary</t>
        </is>
      </c>
    </row>
    <row r="59">
      <c r="A59" t="inlineStr">
        <is>
          <t>Jenny</t>
        </is>
      </c>
      <c r="J59" t="inlineStr">
        <is>
          <t>Jenny</t>
        </is>
      </c>
    </row>
    <row r="60">
      <c r="A60" t="inlineStr">
        <is>
          <t>Sam</t>
        </is>
      </c>
      <c r="J60" t="inlineStr">
        <is>
          <t>Sam</t>
        </is>
      </c>
    </row>
    <row r="61">
      <c r="A61" t="inlineStr">
        <is>
          <t>James</t>
        </is>
      </c>
      <c r="J61" t="inlineStr">
        <is>
          <t>James</t>
        </is>
      </c>
    </row>
    <row r="64">
      <c r="A64" s="1" t="inlineStr">
        <is>
          <t>TOROW:  =TOROW({1,2;3,4})</t>
        </is>
      </c>
    </row>
    <row r="65">
      <c r="A65" cm="1">
        <f t="array" ref="A65:D65">_xlfn.TOROW({1,2;3,4})</f>
        <v>1</v>
      </c>
      <c r="B65">
        <v>2</v>
      </c>
      <c r="C65">
        <v>3</v>
      </c>
      <c r="D65">
        <v>4</v>
      </c>
      <c r="J65">
        <v>1</v>
      </c>
      <c r="K65">
        <v>2</v>
      </c>
      <c r="L65">
        <v>3</v>
      </c>
      <c r="M65">
        <v>4</v>
      </c>
    </row>
    <row r="68">
      <c r="A68" s="1" t="inlineStr">
        <is>
          <t>WRAPROWS by 3:  =WRAPROWS({"A","B","C","D","E","F","G"},3)</t>
        </is>
      </c>
    </row>
    <row r="69">
      <c r="A69" t="str" cm="1">
        <f t="array" ref="A69:C71">_xlfn.WRAPROWS({"A","B","C","D","E","F","G"},3)</f>
        <v>A</v>
      </c>
      <c r="B69" t="inlineStr">
        <is>
          <t>B</t>
        </is>
      </c>
      <c r="C69" t="inlineStr">
        <is>
          <t>C</t>
        </is>
      </c>
      <c r="J69" t="inlineStr">
        <is>
          <t>A</t>
        </is>
      </c>
      <c r="K69" t="inlineStr">
        <is>
          <t>B</t>
        </is>
      </c>
      <c r="L69" t="inlineStr">
        <is>
          <t>C</t>
        </is>
      </c>
    </row>
    <row r="70">
      <c r="A70" t="inlineStr">
        <is>
          <t>D</t>
        </is>
      </c>
      <c r="B70" t="inlineStr">
        <is>
          <t>E</t>
        </is>
      </c>
      <c r="C70" t="inlineStr">
        <is>
          <t>F</t>
        </is>
      </c>
      <c r="J70" t="inlineStr">
        <is>
          <t>D</t>
        </is>
      </c>
      <c r="K70" t="inlineStr">
        <is>
          <t>E</t>
        </is>
      </c>
      <c r="L70" t="inlineStr">
        <is>
          <t>F</t>
        </is>
      </c>
    </row>
    <row r="71">
      <c r="A71" t="inlineStr">
        <is>
          <t>G</t>
        </is>
      </c>
      <c r="B71" t="e">
        <v>#N/A</v>
      </c>
      <c r="C71" t="e">
        <v>#N/A</v>
      </c>
      <c r="J71" t="inlineStr">
        <is>
          <t>G</t>
        </is>
      </c>
      <c r="K71" t="e">
        <v>#N/A</v>
      </c>
      <c r="L71" t="e">
        <v>#N/A</v>
      </c>
    </row>
    <row r="74">
      <c r="A74" s="1" t="inlineStr">
        <is>
          <t>WRAPCOLS by 3, pad x:  =WRAPCOLS({"A","B","C","D","E","F","G"},3,"x")</t>
        </is>
      </c>
    </row>
    <row r="75">
      <c r="A75" t="str" cm="1">
        <f t="array" ref="A75:C77">_xlfn.WRAPCOLS({"A","B","C","D","E","F","G"},3,"x")</f>
        <v>A</v>
      </c>
      <c r="B75" t="inlineStr">
        <is>
          <t>D</t>
        </is>
      </c>
      <c r="C75" t="inlineStr">
        <is>
          <t>G</t>
        </is>
      </c>
      <c r="J75" t="inlineStr">
        <is>
          <t>A</t>
        </is>
      </c>
      <c r="K75" t="inlineStr">
        <is>
          <t>D</t>
        </is>
      </c>
      <c r="L75" t="inlineStr">
        <is>
          <t>G</t>
        </is>
      </c>
    </row>
    <row r="76">
      <c r="A76" t="inlineStr">
        <is>
          <t>B</t>
        </is>
      </c>
      <c r="B76" t="inlineStr">
        <is>
          <t>E</t>
        </is>
      </c>
      <c r="C76" t="inlineStr">
        <is>
          <t>x</t>
        </is>
      </c>
      <c r="J76" t="inlineStr">
        <is>
          <t>B</t>
        </is>
      </c>
      <c r="K76" t="inlineStr">
        <is>
          <t>E</t>
        </is>
      </c>
      <c r="L76" t="inlineStr">
        <is>
          <t>x</t>
        </is>
      </c>
    </row>
    <row r="77">
      <c r="A77" t="inlineStr">
        <is>
          <t>C</t>
        </is>
      </c>
      <c r="B77" t="inlineStr">
        <is>
          <t>F</t>
        </is>
      </c>
      <c r="C77" t="inlineStr">
        <is>
          <t>x</t>
        </is>
      </c>
      <c r="J77" t="inlineStr">
        <is>
          <t>C</t>
        </is>
      </c>
      <c r="K77" t="inlineStr">
        <is>
          <t>F</t>
        </is>
      </c>
      <c r="L77" t="inlineStr">
        <is>
          <t>x</t>
        </is>
      </c>
    </row>
    <row r="80">
      <c r="A80" s="1" t="inlineStr">
        <is>
          <t>TRIMRANGE of a whole column (the blank O5 spills as 0):  =TRIMRANGE(Data!O:O)</t>
        </is>
      </c>
    </row>
    <row r="81">
      <c r="A81" cm="1">
        <f t="array" ref="A81:A84">_xlfn.TRIMRANGE(Data!O:O)</f>
        <v>1</v>
      </c>
      <c r="J81">
        <v>1</v>
      </c>
    </row>
    <row r="82">
      <c r="A82">
        <v>2</v>
      </c>
      <c r="J82">
        <v>2</v>
      </c>
    </row>
    <row r="83">
      <c r="A83">
        <v>0</v>
      </c>
    </row>
    <row r="84">
      <c r="A84">
        <v>12</v>
      </c>
      <c r="J84">
        <v>12</v>
      </c>
    </row>
    <row r="87">
      <c r="A87" s="1" t="inlineStr">
        <is>
          <t>GROUPBY sum by region (headers auto-detected):  =GROUPBY(Data!A10:A15,Data!D10:D15,SUM)</t>
        </is>
      </c>
    </row>
    <row r="88">
      <c r="A88" t="str" cm="1">
        <f t="array" ref="A88:B91">_xlfn.GROUPBY(Data!A10:A15,Data!D10:D15,_xleta.SUM)</f>
        <v>Region</v>
      </c>
      <c r="B88" t="inlineStr">
        <is>
          <t>Sales</t>
        </is>
      </c>
      <c r="J88" t="inlineStr">
        <is>
          <t>Region</t>
        </is>
      </c>
      <c r="K88" t="inlineStr">
        <is>
          <t>Sales</t>
        </is>
      </c>
    </row>
    <row r="89">
      <c r="A89" t="inlineStr">
        <is>
          <t>East</t>
        </is>
      </c>
      <c r="B89">
        <v>90</v>
      </c>
      <c r="J89" t="inlineStr">
        <is>
          <t>East</t>
        </is>
      </c>
      <c r="K89">
        <v>90</v>
      </c>
    </row>
    <row r="90">
      <c r="A90" t="inlineStr">
        <is>
          <t>West</t>
        </is>
      </c>
      <c r="B90">
        <v>60</v>
      </c>
      <c r="J90" t="inlineStr">
        <is>
          <t>West</t>
        </is>
      </c>
      <c r="K90">
        <v>60</v>
      </c>
    </row>
    <row r="91">
      <c r="A91" t="inlineStr">
        <is>
          <t>Total</t>
        </is>
      </c>
      <c r="B91">
        <v>150</v>
      </c>
      <c r="J91" t="inlineStr">
        <is>
          <t>Total</t>
        </is>
      </c>
      <c r="K91">
        <v>150</v>
      </c>
    </row>
    <row r="94">
      <c r="A94" s="1" t="inlineStr">
        <is>
          <t>GROUPBY region and product, subtotals:  =GROUPBY(Data!A11:B15,Data!D11:D15,SUM,0)</t>
        </is>
      </c>
    </row>
    <row r="95">
      <c r="A95" t="str" cm="1">
        <f t="array" ref="A95:C101">_xlfn.GROUPBY(Data!A11:B15,Data!D11:D15,_xleta.SUM,0)</f>
        <v>East</v>
      </c>
      <c r="B95" t="inlineStr">
        <is>
          <t>A</t>
        </is>
      </c>
      <c r="C95">
        <v>60</v>
      </c>
      <c r="J95" t="inlineStr">
        <is>
          <t>East</t>
        </is>
      </c>
      <c r="K95" t="inlineStr">
        <is>
          <t>A</t>
        </is>
      </c>
      <c r="L95">
        <v>60</v>
      </c>
    </row>
    <row r="96">
      <c r="A96" t="inlineStr">
        <is>
          <t>East</t>
        </is>
      </c>
      <c r="B96" t="inlineStr">
        <is>
          <t>B</t>
        </is>
      </c>
      <c r="C96">
        <v>30</v>
      </c>
      <c r="J96" t="inlineStr">
        <is>
          <t>East</t>
        </is>
      </c>
      <c r="K96" t="inlineStr">
        <is>
          <t>B</t>
        </is>
      </c>
      <c r="L96">
        <v>30</v>
      </c>
    </row>
    <row r="97">
      <c r="A97" t="inlineStr">
        <is>
          <t>East</t>
        </is>
      </c>
      <c r="B97" t="inlineStr">
        <is>
          <t/>
        </is>
      </c>
      <c r="C97">
        <v>90</v>
      </c>
      <c r="J97" t="inlineStr">
        <is>
          <t>East</t>
        </is>
      </c>
      <c r="L97">
        <v>90</v>
      </c>
    </row>
    <row r="98">
      <c r="A98" t="inlineStr">
        <is>
          <t>West</t>
        </is>
      </c>
      <c r="B98" t="inlineStr">
        <is>
          <t>A</t>
        </is>
      </c>
      <c r="C98">
        <v>40</v>
      </c>
      <c r="J98" t="inlineStr">
        <is>
          <t>West</t>
        </is>
      </c>
      <c r="K98" t="inlineStr">
        <is>
          <t>A</t>
        </is>
      </c>
      <c r="L98">
        <v>40</v>
      </c>
    </row>
    <row r="99">
      <c r="A99" t="inlineStr">
        <is>
          <t>West</t>
        </is>
      </c>
      <c r="B99" t="inlineStr">
        <is>
          <t>B</t>
        </is>
      </c>
      <c r="C99">
        <v>20</v>
      </c>
      <c r="J99" t="inlineStr">
        <is>
          <t>West</t>
        </is>
      </c>
      <c r="K99" t="inlineStr">
        <is>
          <t>B</t>
        </is>
      </c>
      <c r="L99">
        <v>20</v>
      </c>
    </row>
    <row r="100">
      <c r="A100" t="inlineStr">
        <is>
          <t>West</t>
        </is>
      </c>
      <c r="B100" t="inlineStr">
        <is>
          <t/>
        </is>
      </c>
      <c r="C100">
        <v>60</v>
      </c>
      <c r="J100" t="inlineStr">
        <is>
          <t>West</t>
        </is>
      </c>
      <c r="L100">
        <v>60</v>
      </c>
    </row>
    <row r="101">
      <c r="A101" t="inlineStr">
        <is>
          <t>Total</t>
        </is>
      </c>
      <c r="B101" t="inlineStr">
        <is>
          <t/>
        </is>
      </c>
      <c r="C101">
        <v>150</v>
      </c>
      <c r="J101" t="inlineStr">
        <is>
          <t>Total</t>
        </is>
      </c>
      <c r="L101">
        <v>150</v>
      </c>
    </row>
    <row r="104">
      <c r="A104" s="1" t="inlineStr">
        <is>
          <t>GROUPBY two functions, sorted by sum descending:  =GROUPBY(Data!A11:A15,Data!D11:D15,HSTACK(SUM,COUNT),0,1,-2)</t>
        </is>
      </c>
    </row>
    <row r="105">
      <c r="A105" t="str" cm="1">
        <f t="array" ref="A105:C108">_xlfn.GROUPBY(Data!A11:A15,Data!D11:D15,_xlfn.HSTACK(_xleta.SUM,_xleta.COUNT),0,1,-2)</f>
        <v/>
      </c>
      <c r="B105" t="inlineStr">
        <is>
          <t>SUM</t>
        </is>
      </c>
      <c r="C105" t="inlineStr">
        <is>
          <t>COUNT</t>
        </is>
      </c>
      <c r="K105" t="inlineStr">
        <is>
          <t>SUM</t>
        </is>
      </c>
      <c r="L105" t="inlineStr">
        <is>
          <t>COUNT</t>
        </is>
      </c>
    </row>
    <row r="106">
      <c r="A106" t="inlineStr">
        <is>
          <t>East</t>
        </is>
      </c>
      <c r="B106">
        <v>90</v>
      </c>
      <c r="C106">
        <v>3</v>
      </c>
      <c r="J106" t="inlineStr">
        <is>
          <t>East</t>
        </is>
      </c>
      <c r="K106">
        <v>90</v>
      </c>
      <c r="L106">
        <v>3</v>
      </c>
    </row>
    <row r="107">
      <c r="A107" t="inlineStr">
        <is>
          <t>West</t>
        </is>
      </c>
      <c r="B107">
        <v>60</v>
      </c>
      <c r="C107">
        <v>2</v>
      </c>
      <c r="J107" t="inlineStr">
        <is>
          <t>West</t>
        </is>
      </c>
      <c r="K107">
        <v>60</v>
      </c>
      <c r="L107">
        <v>2</v>
      </c>
    </row>
    <row r="108">
      <c r="A108" t="inlineStr">
        <is>
          <t>Total</t>
        </is>
      </c>
      <c r="B108">
        <v>150</v>
      </c>
      <c r="C108">
        <v>5</v>
      </c>
      <c r="J108" t="inlineStr">
        <is>
          <t>Total</t>
        </is>
      </c>
      <c r="K108">
        <v>150</v>
      </c>
      <c r="L108">
        <v>5</v>
      </c>
    </row>
    <row r="111">
      <c r="A111" s="1" t="inlineStr">
        <is>
          <t>GROUPBY PERCENTOF, 2024 only:  =GROUPBY(Data!A11:A15,Data!D11:D15,PERCENTOF,0,0,,Data!C11:C15=2024)</t>
        </is>
      </c>
    </row>
    <row r="112">
      <c r="A112" t="str" cm="1">
        <f t="array" ref="A112:B113">_xlfn.GROUPBY(Data!A11:A15,Data!D11:D15,_xleta.PERCENTOF,0,0,,Data!C11:C15=2024)</f>
        <v>East</v>
      </c>
      <c r="B112">
        <v>0.6666666666666666</v>
      </c>
      <c r="J112" t="inlineStr">
        <is>
          <t>East</t>
        </is>
      </c>
      <c r="K112">
        <v>0.6666666666666666</v>
      </c>
    </row>
    <row r="113">
      <c r="A113" t="inlineStr">
        <is>
          <t>West</t>
        </is>
      </c>
      <c r="B113">
        <v>0.3333333333333333</v>
      </c>
      <c r="J113" t="inlineStr">
        <is>
          <t>West</t>
        </is>
      </c>
      <c r="K113">
        <v>0.3333333333333333</v>
      </c>
    </row>
    <row r="116">
      <c r="A116" s="1" t="inlineStr">
        <is>
          <t>PIVOTBY region x year:  =PIVOTBY(Data!A11:A15,Data!C11:C15,Data!D11:D15,SUM,0)</t>
        </is>
      </c>
    </row>
    <row r="117">
      <c r="A117" t="str" cm="1">
        <f t="array" ref="A117:D120">_xlfn.PIVOTBY(Data!A11:A15,Data!C11:C15,Data!D11:D15,_xleta.SUM,0)</f>
        <v/>
      </c>
      <c r="B117">
        <v>2023</v>
      </c>
      <c r="C117">
        <v>2024</v>
      </c>
      <c r="D117" t="inlineStr">
        <is>
          <t>Total</t>
        </is>
      </c>
      <c r="K117">
        <v>2023</v>
      </c>
      <c r="L117">
        <v>2024</v>
      </c>
      <c r="M117" t="inlineStr">
        <is>
          <t>Total</t>
        </is>
      </c>
    </row>
    <row r="118">
      <c r="A118" t="inlineStr">
        <is>
          <t>East</t>
        </is>
      </c>
      <c r="B118">
        <v>10</v>
      </c>
      <c r="C118">
        <v>80</v>
      </c>
      <c r="D118">
        <v>90</v>
      </c>
      <c r="J118" t="inlineStr">
        <is>
          <t>East</t>
        </is>
      </c>
      <c r="K118">
        <v>10</v>
      </c>
      <c r="L118">
        <v>80</v>
      </c>
      <c r="M118">
        <v>90</v>
      </c>
    </row>
    <row r="119">
      <c r="A119" t="inlineStr">
        <is>
          <t>West</t>
        </is>
      </c>
      <c r="B119">
        <v>20</v>
      </c>
      <c r="C119">
        <v>40</v>
      </c>
      <c r="D119">
        <v>60</v>
      </c>
      <c r="J119" t="inlineStr">
        <is>
          <t>West</t>
        </is>
      </c>
      <c r="K119">
        <v>20</v>
      </c>
      <c r="L119">
        <v>40</v>
      </c>
      <c r="M119">
        <v>60</v>
      </c>
    </row>
    <row r="120">
      <c r="A120" t="inlineStr">
        <is>
          <t>Total</t>
        </is>
      </c>
      <c r="B120">
        <v>30</v>
      </c>
      <c r="C120">
        <v>120</v>
      </c>
      <c r="D120">
        <v>150</v>
      </c>
      <c r="J120" t="inlineStr">
        <is>
          <t>Total</t>
        </is>
      </c>
      <c r="K120">
        <v>30</v>
      </c>
      <c r="L120">
        <v>120</v>
      </c>
      <c r="M120">
        <v>150</v>
      </c>
    </row>
    <row r="123">
      <c r="A123" s="1" t="inlineStr">
        <is>
          <t>PIVOTBY with LAMBDA, no totals, 2023 only:  =PIVOTBY(Data!A11:A15,Data!B11:B15,Data!D11:D15,LAMBDA(x,MAX(x)),0,0,,0,,Data!C11:C15=2023)</t>
        </is>
      </c>
    </row>
    <row r="124">
      <c r="A124" t="str" cm="1">
        <f t="array" ref="A124:C126">_xlfn.PIVOTBY(Data!A11:A15,Data!B11:B15,Data!D11:D15,_xlfn.LAMBDA(_xlpm.x,MAX(_xlpm.x)),0,0,,0,,Data!C11:C15=2023)</f>
        <v/>
      </c>
      <c r="B124" t="inlineStr">
        <is>
          <t>A</t>
        </is>
      </c>
      <c r="C124" t="inlineStr">
        <is>
          <t>B</t>
        </is>
      </c>
      <c r="K124" t="inlineStr">
        <is>
          <t>A</t>
        </is>
      </c>
      <c r="L124" t="inlineStr">
        <is>
          <t>B</t>
        </is>
      </c>
    </row>
    <row r="125">
      <c r="A125" t="inlineStr">
        <is>
          <t>East</t>
        </is>
      </c>
      <c r="B125">
        <v>10</v>
      </c>
      <c r="C125" t="inlineStr">
        <is>
          <t/>
        </is>
      </c>
      <c r="J125" t="inlineStr">
        <is>
          <t>East</t>
        </is>
      </c>
      <c r="K125">
        <v>10</v>
      </c>
    </row>
    <row r="126">
      <c r="A126" t="inlineStr">
        <is>
          <t>West</t>
        </is>
      </c>
      <c r="B126" t="inlineStr">
        <is>
          <t/>
        </is>
      </c>
      <c r="C126">
        <v>20</v>
      </c>
      <c r="J126" t="inlineStr">
        <is>
          <t>West</t>
        </is>
      </c>
      <c r="L126">
        <v>20</v>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showGridLines="true" workbookViewId="0"/>
  </sheetViews>
  <sheetFormatPr defaultRowHeight="15"/>
  <sheetData>
    <row r="1">
      <c r="A1" s="1" t="inlineStr">
        <is>
          <t>CHOOSECOLS / CHOOSEROWS</t>
        </is>
      </c>
      <c r="F1" s="1" t="inlineStr">
        <is>
          <t>TAKE / DROP</t>
        </is>
      </c>
      <c r="J1" s="1" t="inlineStr">
        <is>
          <t>TOCOL / TOROW</t>
        </is>
      </c>
      <c r="P1" s="1" t="inlineStr">
        <is>
          <t>← TRIMRANGE data in O3:O6</t>
        </is>
      </c>
    </row>
    <row r="2">
      <c r="A2">
        <v>1</v>
      </c>
      <c r="B2">
        <v>2</v>
      </c>
      <c r="C2">
        <v>3</v>
      </c>
      <c r="D2">
        <v>4</v>
      </c>
      <c r="F2">
        <v>1</v>
      </c>
      <c r="G2">
        <v>2</v>
      </c>
      <c r="H2">
        <v>3</v>
      </c>
      <c r="J2" t="inlineStr">
        <is>
          <t>Ben</t>
        </is>
      </c>
      <c r="K2" t="inlineStr">
        <is>
          <t>Peter</t>
        </is>
      </c>
      <c r="L2" t="inlineStr">
        <is>
          <t>Mary</t>
        </is>
      </c>
      <c r="M2" t="inlineStr">
        <is>
          <t>Sam</t>
        </is>
      </c>
    </row>
    <row r="3">
      <c r="A3">
        <v>5</v>
      </c>
      <c r="B3">
        <v>6</v>
      </c>
      <c r="C3">
        <v>7</v>
      </c>
      <c r="D3">
        <v>8</v>
      </c>
      <c r="F3">
        <v>4</v>
      </c>
      <c r="G3">
        <v>5</v>
      </c>
      <c r="H3">
        <v>6</v>
      </c>
      <c r="J3" t="inlineStr">
        <is>
          <t>John</t>
        </is>
      </c>
      <c r="K3" t="inlineStr">
        <is>
          <t>Hillary</t>
        </is>
      </c>
      <c r="L3" t="inlineStr">
        <is>
          <t>Jenny</t>
        </is>
      </c>
      <c r="M3" t="inlineStr">
        <is>
          <t>James</t>
        </is>
      </c>
      <c r="O3">
        <v>1</v>
      </c>
    </row>
    <row r="4">
      <c r="A4">
        <v>9</v>
      </c>
      <c r="B4">
        <v>10</v>
      </c>
      <c r="C4">
        <v>11</v>
      </c>
      <c r="D4">
        <v>12</v>
      </c>
      <c r="F4">
        <v>7</v>
      </c>
      <c r="G4">
        <v>8</v>
      </c>
      <c r="H4">
        <v>9</v>
      </c>
      <c r="J4" t="inlineStr">
        <is>
          <t>Agnes</t>
        </is>
      </c>
      <c r="K4" t="inlineStr">
        <is>
          <t>Harry</t>
        </is>
      </c>
      <c r="M4" t="e">
        <v>#N/A</v>
      </c>
      <c r="O4">
        <v>2</v>
      </c>
    </row>
    <row r="5">
      <c r="A5">
        <v>13</v>
      </c>
      <c r="B5">
        <v>14</v>
      </c>
      <c r="C5">
        <v>15</v>
      </c>
      <c r="D5">
        <v>16</v>
      </c>
    </row>
    <row r="6">
      <c r="A6">
        <v>17</v>
      </c>
      <c r="B6">
        <v>18</v>
      </c>
      <c r="C6">
        <v>19</v>
      </c>
      <c r="D6">
        <v>20</v>
      </c>
      <c r="O6">
        <v>12</v>
      </c>
    </row>
    <row r="7">
      <c r="A7">
        <v>21</v>
      </c>
      <c r="B7">
        <v>22</v>
      </c>
      <c r="C7">
        <v>23</v>
      </c>
      <c r="D7">
        <v>24</v>
      </c>
    </row>
    <row r="9">
      <c r="A9" s="1" t="inlineStr">
        <is>
          <t>GROUPBY / PIVOTBY</t>
        </is>
      </c>
    </row>
    <row r="10">
      <c r="A10" t="inlineStr">
        <is>
          <t>Region</t>
        </is>
      </c>
      <c r="B10" t="inlineStr">
        <is>
          <t>Product</t>
        </is>
      </c>
      <c r="C10" t="inlineStr">
        <is>
          <t>Year</t>
        </is>
      </c>
      <c r="D10" t="inlineStr">
        <is>
          <t>Sales</t>
        </is>
      </c>
    </row>
    <row r="11">
      <c r="A11" t="inlineStr">
        <is>
          <t>East</t>
        </is>
      </c>
      <c r="B11" t="inlineStr">
        <is>
          <t>A</t>
        </is>
      </c>
      <c r="C11">
        <v>2023</v>
      </c>
      <c r="D11">
        <v>10</v>
      </c>
    </row>
    <row r="12">
      <c r="A12" t="inlineStr">
        <is>
          <t>West</t>
        </is>
      </c>
      <c r="B12" t="inlineStr">
        <is>
          <t>B</t>
        </is>
      </c>
      <c r="C12">
        <v>2023</v>
      </c>
      <c r="D12">
        <v>20</v>
      </c>
    </row>
    <row r="13">
      <c r="A13" t="inlineStr">
        <is>
          <t>East</t>
        </is>
      </c>
      <c r="B13" t="inlineStr">
        <is>
          <t>B</t>
        </is>
      </c>
      <c r="C13">
        <v>2024</v>
      </c>
      <c r="D13">
        <v>30</v>
      </c>
    </row>
    <row r="14">
      <c r="A14" t="inlineStr">
        <is>
          <t>West</t>
        </is>
      </c>
      <c r="B14" t="inlineStr">
        <is>
          <t>A</t>
        </is>
      </c>
      <c r="C14">
        <v>2024</v>
      </c>
      <c r="D14">
        <v>40</v>
      </c>
    </row>
    <row r="15">
      <c r="A15" t="inlineStr">
        <is>
          <t>East</t>
        </is>
      </c>
      <c r="B15" t="inlineStr">
        <is>
          <t>A</t>
        </is>
      </c>
      <c r="C15">
        <v>2024</v>
      </c>
      <c r="D15">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